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f54194997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快速入门" sheetId="1" r:id="R888e6238d5214039"/>
    <x:sheet xmlns:r="http://schemas.openxmlformats.org/officeDocument/2006/relationships" name="术语总表" sheetId="2" r:id="R8b0c263c63214ebe"/>
    <x:sheet xmlns:r="http://schemas.openxmlformats.org/officeDocument/2006/relationships" name="计算链路" sheetId="3" r:id="R45c96b98462f47e4"/>
    <x:sheet xmlns:r="http://schemas.openxmlformats.org/officeDocument/2006/relationships" name="业务模式" sheetId="4" r:id="Red55b519609a4ea6"/>
    <x:sheet xmlns:r="http://schemas.openxmlformats.org/officeDocument/2006/relationships" name="条件与异常" sheetId="5" r:id="R455374d659844b4b"/>
    <x:sheet xmlns:r="http://schemas.openxmlformats.org/officeDocument/2006/relationships" name="计算示例" sheetId="6" r:id="R381c99fdbe42476e"/>
    <x:sheet xmlns:r="http://schemas.openxmlformats.org/officeDocument/2006/relationships" name="标准与来源" sheetId="7" r:id="Rc8683d466280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"/>
    <x:numFmt numFmtId="201" formatCode="0.000%"/>
    <x:numFmt numFmtId="202" formatCode="#,##0.000"/>
    <x:numFmt numFmtId="203" formatCode="#,##0.0000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b/>
      <x:sz val="11"/>
      <x:color rgb="FFB42318"/>
      <x:name val="Carlito"/>
    </x:font>
    <x:font>
      <x:b/>
      <x:sz val="20"/>
      <x:color rgb="FF1F2937"/>
      <x:name val="Microsoft YaHei"/>
    </x:font>
    <x:font>
      <x:sz val="11"/>
      <x:color rgb="FF1F2937"/>
      <x:name val="Microsoft YaHei"/>
    </x:font>
    <x:font>
      <x:i/>
      <x:sz val="11"/>
      <x:color rgb="FF1F2937"/>
      <x:name val="Microsoft YaHei"/>
    </x:font>
    <x:font>
      <x:b/>
      <x:sz val="11"/>
      <x:color rgb="FF1F2937"/>
      <x:name val="Microsoft YaHei"/>
    </x:font>
    <x:font>
      <x:b/>
      <x:sz val="20"/>
      <x:color rgb="FFFFFFFF"/>
      <x:name val="Microsoft YaHei"/>
    </x:font>
    <x:font>
      <x:b/>
      <x:sz val="11"/>
      <x:color rgb="FFFFFFFF"/>
      <x:name val="Microsoft YaHei"/>
    </x:font>
    <x:font>
      <x:b/>
      <x:i/>
      <x:sz val="11"/>
      <x:color rgb="FFFFFFFF"/>
      <x:name val="Microsoft YaHei"/>
    </x:font>
    <x:font>
      <x:b/>
      <x:sz val="11"/>
      <x:color rgb="FF087F5B"/>
      <x:name val="Carlito"/>
    </x:font>
    <x:font>
      <x:b/>
      <x:i/>
      <x:sz val="11"/>
      <x:color rgb="FF1F2937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FFF2D6"/>
      </x:patternFill>
    </x:fill>
    <x:fill>
      <x:patternFill patternType="solid">
        <x:fgColor rgb="FFFDE9E7"/>
      </x:patternFill>
    </x:fill>
    <x:fill>
      <x:patternFill patternType="solid">
        <x:fgColor rgb="FFE5F5EF"/>
      </x:patternFill>
    </x:fill>
  </x:fills>
  <x:borders count="10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  <x:border>
      <x:left style="thin">
        <x:color rgb="FFA15C00"/>
      </x:left>
      <x:right style="thin">
        <x:color rgb="FFA15C00"/>
      </x:right>
      <x:top style="thin">
        <x:color rgb="FFA15C00"/>
      </x:top>
    </x:border>
    <x:border>
      <x:left style="thin">
        <x:color rgb="FFA15C00"/>
      </x:left>
      <x:right style="thin">
        <x:color rgb="FFA15C00"/>
      </x:right>
    </x:border>
    <x:border>
      <x:left style="thin">
        <x:color rgb="FFA15C00"/>
      </x:left>
      <x:right style="thin">
        <x:color rgb="FFA15C00"/>
      </x:right>
      <x:bottom style="thin">
        <x:color rgb="FFA15C00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2" borderId="1" xfId="0" applyNumberFormat="1" applyFont="1" applyFill="1" applyBorder="1" applyAlignment="1">
      <x:alignment vertical="center" wrapText="1"/>
    </x:xf>
    <x:xf numFmtId="0" fontId="11" fillId="2" borderId="2" xfId="0" applyNumberFormat="1" applyFont="1" applyFill="1" applyBorder="1" applyAlignment="1">
      <x:alignment vertical="center" wrapText="1"/>
    </x:xf>
    <x:xf numFmtId="0" fontId="11" fillId="2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11" fillId="3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200" fontId="5" fillId="4" borderId="7" xfId="0" applyNumberFormat="1" applyFont="1" applyFill="1" applyBorder="1"/>
    <x:xf numFmtId="200" fontId="5" fillId="4" borderId="8" xfId="0" applyNumberFormat="1" applyFont="1" applyFill="1" applyBorder="1"/>
    <x:xf numFmtId="200" fontId="5" fillId="4" borderId="9" xfId="0" applyNumberFormat="1" applyFont="1" applyFill="1" applyBorder="1"/>
    <x:xf numFmtId="201" fontId="5" fillId="4" borderId="8" xfId="0" applyNumberFormat="1" applyFont="1" applyFill="1" applyBorder="1"/>
    <x:xf numFmtId="202" fontId="5" fillId="4" borderId="7" xfId="0" applyNumberFormat="1" applyFont="1" applyFill="1" applyBorder="1"/>
    <x:xf numFmtId="202" fontId="5" fillId="4" borderId="8" xfId="0" applyNumberFormat="1" applyFont="1" applyFill="1" applyBorder="1"/>
    <x:xf numFmtId="203" fontId="5" fillId="4" borderId="8" xfId="0" applyNumberFormat="1" applyFont="1" applyFill="1" applyBorder="1"/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15" fillId="6" borderId="4" xfId="0" applyNumberFormat="1" applyFont="1" applyFill="1" applyBorder="1" applyAlignment="1">
      <x:alignment vertical="top" wrapText="1"/>
    </x:xf>
    <x:xf numFmtId="0" fontId="15" fillId="6" borderId="5" xfId="0" applyNumberFormat="1" applyFont="1" applyFill="1" applyBorder="1" applyAlignment="1">
      <x:alignment vertical="top" wrapText="1"/>
    </x:xf>
    <x:xf numFmtId="0" fontId="15" fillId="6" borderId="6" xfId="0" applyNumberFormat="1" applyFont="1" applyFill="1" applyBorder="1" applyAlignment="1">
      <x:alignment vertical="top" wrapText="1"/>
    </x:xf>
    <x:xf numFmtId="202" fontId="15" fillId="6" borderId="4" xfId="0" applyNumberFormat="1" applyFont="1" applyFill="1" applyBorder="1" applyAlignment="1">
      <x:alignment vertical="top" wrapText="1"/>
    </x:xf>
    <x:xf numFmtId="202" fontId="15" fillId="6" borderId="5" xfId="0" applyNumberFormat="1" applyFont="1" applyFill="1" applyBorder="1" applyAlignment="1">
      <x:alignment vertical="top" wrapText="1"/>
    </x:xf>
    <x:xf numFmtId="202" fontId="15" fillId="6" borderId="6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6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6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11" fillId="4" borderId="0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 applyAlignment="1">
      <x:alignment vertical="top" wrapText="1"/>
    </x:xf>
    <x:xf numFmtId="0" fontId="11" fillId="2" borderId="2" xfId="0" applyNumberFormat="1" applyFont="1" applyFill="1" applyBorder="1" applyAlignment="1">
      <x:alignment vertical="top" wrapText="1"/>
    </x:xf>
    <x:xf numFmtId="0" fontId="11" fillId="2" borderId="3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center" vertical="top"/>
    </x:xf>
    <x:xf numFmtId="0" fontId="11" fillId="5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wrapText="1"/>
    </x:xf>
    <x:xf numFmtId="202" fontId="9" fillId="4" borderId="7" xfId="0" applyNumberFormat="1" applyFont="1" applyFill="1" applyBorder="1"/>
    <x:xf numFmtId="202" fontId="11" fillId="6" borderId="4" xfId="0" applyNumberFormat="1" applyFont="1" applyFill="1" applyBorder="1" applyAlignment="1">
      <x:alignment vertical="top" wrapText="1"/>
    </x:xf>
    <x:xf numFmtId="202" fontId="9" fillId="4" borderId="8" xfId="0" applyNumberFormat="1" applyFont="1" applyFill="1" applyBorder="1"/>
    <x:xf numFmtId="202" fontId="11" fillId="6" borderId="5" xfId="0" applyNumberFormat="1" applyFont="1" applyFill="1" applyBorder="1" applyAlignment="1">
      <x:alignment vertical="top" wrapText="1"/>
    </x:xf>
    <x:xf numFmtId="200" fontId="9" fillId="4" borderId="8" xfId="0" applyNumberFormat="1" applyFont="1" applyFill="1" applyBorder="1"/>
    <x:xf numFmtId="201" fontId="9" fillId="4" borderId="8" xfId="0" applyNumberFormat="1" applyFont="1" applyFill="1" applyBorder="1"/>
    <x:xf numFmtId="203" fontId="9" fillId="4" borderId="8" xfId="0" applyNumberFormat="1" applyFont="1" applyFill="1" applyBorder="1"/>
    <x:xf numFmtId="200" fontId="9" fillId="4" borderId="9" xfId="0" applyNumberFormat="1" applyFont="1" applyFill="1" applyBorder="1"/>
    <x:xf numFmtId="202" fontId="11" fillId="6" borderId="6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202" fontId="9" fillId="4" borderId="7" xfId="0" applyNumberFormat="1" applyFont="1" applyFill="1" applyBorder="1" applyAlignment="1">
      <x:alignment vertical="top"/>
    </x:xf>
    <x:xf numFmtId="202" fontId="9" fillId="4" borderId="8" xfId="0" applyNumberFormat="1" applyFont="1" applyFill="1" applyBorder="1" applyAlignment="1">
      <x:alignment vertical="top"/>
    </x:xf>
    <x:xf numFmtId="200" fontId="9" fillId="4" borderId="8" xfId="0" applyNumberFormat="1" applyFont="1" applyFill="1" applyBorder="1" applyAlignment="1">
      <x:alignment vertical="top"/>
    </x:xf>
    <x:xf numFmtId="201" fontId="9" fillId="4" borderId="8" xfId="0" applyNumberFormat="1" applyFont="1" applyFill="1" applyBorder="1" applyAlignment="1">
      <x:alignment vertical="top"/>
    </x:xf>
    <x:xf numFmtId="203" fontId="9" fillId="4" borderId="8" xfId="0" applyNumberFormat="1" applyFont="1" applyFill="1" applyBorder="1" applyAlignment="1">
      <x:alignment vertical="top"/>
    </x:xf>
    <x:xf numFmtId="200" fontId="9" fillId="4" borderId="9" xfId="0" applyNumberFormat="1" applyFont="1" applyFill="1" applyBorder="1" applyAlignment="1">
      <x:alignment vertical="top"/>
    </x:xf>
    <x:xf numFmtId="0" fontId="11" fillId="2" borderId="0" xfId="0" applyNumberFormat="1" applyFont="1" applyFill="1" applyBorder="1" applyAlignment="1">
      <x:alignment vertical="top"/>
    </x:xf>
    <x:xf numFmtId="0" fontId="12" fillId="2" borderId="0" xfId="0" applyNumberFormat="1" applyFont="1" applyFill="1" applyBorder="1" applyAlignment="1">
      <x:alignment vertical="top"/>
    </x:xf>
    <x:xf numFmtId="0" fontId="13" fillId="2" borderId="1" xfId="0" applyNumberFormat="1" applyFont="1" applyFill="1" applyBorder="1" applyAlignment="1">
      <x:alignment vertical="top" wrapText="1"/>
    </x:xf>
    <x:xf numFmtId="0" fontId="13" fillId="2" borderId="2" xfId="0" applyNumberFormat="1" applyFont="1" applyFill="1" applyBorder="1" applyAlignment="1">
      <x:alignment vertical="top" wrapText="1"/>
    </x:xf>
    <x:xf numFmtId="0" fontId="13" fillId="2" borderId="3" xfId="0" applyNumberFormat="1" applyFont="1" applyFill="1" applyBorder="1" applyAlignment="1">
      <x:alignment vertical="top" wrapText="1"/>
    </x:xf>
    <x:xf numFmtId="0" fontId="13" fillId="2" borderId="1" xfId="0" applyNumberFormat="1" applyFont="1" applyFill="1" applyBorder="1" applyAlignment="1">
      <x:alignment vertical="center" wrapText="1"/>
    </x:xf>
    <x:xf numFmtId="0" fontId="13" fillId="2" borderId="2" xfId="0" applyNumberFormat="1" applyFont="1" applyFill="1" applyBorder="1" applyAlignment="1">
      <x:alignment vertical="center" wrapText="1"/>
    </x:xf>
    <x:xf numFmtId="0" fontId="13" fillId="2" borderId="3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top"/>
    </x:xf>
    <x:xf numFmtId="0" fontId="13" fillId="2" borderId="1" xfId="0" applyNumberFormat="1" applyFont="1" applyFill="1" applyBorder="1" applyAlignment="1">
      <x:alignment horizontal="center" vertical="top"/>
    </x:xf>
    <x:xf numFmtId="0" fontId="13" fillId="2" borderId="2" xfId="0" applyNumberFormat="1" applyFont="1" applyFill="1" applyBorder="1" applyAlignment="1">
      <x:alignment horizontal="center" vertical="top"/>
    </x:xf>
    <x:xf numFmtId="0" fontId="13" fillId="2" borderId="3" xfId="0" applyNumberFormat="1" applyFont="1" applyFill="1" applyBorder="1" applyAlignment="1">
      <x:alignment horizontal="center" vertical="top"/>
    </x:xf>
    <x:xf numFmtId="0" fontId="13" fillId="2" borderId="1" xfId="0" applyNumberFormat="1" applyFont="1" applyFill="1" applyBorder="1" applyAlignment="1">
      <x:alignment horizontal="center" vertical="top" wrapText="1"/>
    </x:xf>
    <x:xf numFmtId="0" fontId="13" fillId="2" borderId="2" xfId="0" applyNumberFormat="1" applyFont="1" applyFill="1" applyBorder="1" applyAlignment="1">
      <x:alignment horizontal="center" vertical="top" wrapText="1"/>
    </x:xf>
    <x:xf numFmtId="0" fontId="13" fillId="2" borderId="3" xfId="0" applyNumberFormat="1" applyFont="1" applyFill="1" applyBorder="1" applyAlignment="1">
      <x:alignment horizontal="center" vertical="top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3" fillId="2" borderId="2" xfId="0" applyNumberFormat="1" applyFont="1" applyFill="1" applyBorder="1" applyAlignment="1">
      <x:alignment horizontal="center" vertical="center" wrapText="1"/>
    </x:xf>
    <x:xf numFmtId="0" fontId="13" fillId="2" borderId="3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vertical="top"/>
    </x:xf>
    <x:xf numFmtId="0" fontId="13" fillId="2" borderId="2" xfId="0" applyNumberFormat="1" applyFont="1" applyFill="1" applyBorder="1" applyAlignment="1">
      <x:alignment vertical="top"/>
    </x:xf>
    <x:xf numFmtId="0" fontId="13" fillId="2" borderId="3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ont>
        <x:b/>
        <x:color rgb="FF087F5B"/>
      </x:font>
      <x:fill>
        <x:patternFill patternType="solid">
          <x:bgColor rgb="FFE5F5EF"/>
        </x:patternFill>
      </x:fill>
    </x:dxf>
    <x:dxf>
      <x:font>
        <x:b/>
        <x:color rgb="FFA15C00"/>
      </x:font>
      <x:fill>
        <x:patternFill patternType="solid">
          <x:bgColor rgb="FFFFF2D6"/>
        </x:patternFill>
      </x:fill>
    </x:dxf>
    <x:dxf>
      <x:font>
        <x:b/>
        <x:color rgb="FF1769AA"/>
      </x:font>
      <x:fill>
        <x:patternFill patternType="solid">
          <x:bgColor rgb="FFDCEAF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b/>
        <x:color rgb="FFA15C00"/>
      </x:font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a9c9231a84a2c" /><Relationship Type="http://schemas.openxmlformats.org/officeDocument/2006/relationships/theme" Target="/xl/theme/theme1.xml" Id="Rbef9783ff8054bf5" /><Relationship Type="http://schemas.openxmlformats.org/officeDocument/2006/relationships/sharedStrings" Target="/xl/sharedStrings.xml" Id="R9e7976fdc14d40d8" /><Relationship Type="http://schemas.openxmlformats.org/officeDocument/2006/relationships/worksheet" Target="/xl/worksheets/sheet1.xml" Id="R888e6238d5214039" /><Relationship Type="http://schemas.openxmlformats.org/officeDocument/2006/relationships/worksheet" Target="/xl/worksheets/sheet2.xml" Id="R8b0c263c63214ebe" /><Relationship Type="http://schemas.openxmlformats.org/officeDocument/2006/relationships/worksheet" Target="/xl/worksheets/sheet3.xml" Id="R45c96b98462f47e4" /><Relationship Type="http://schemas.openxmlformats.org/officeDocument/2006/relationships/worksheet" Target="/xl/worksheets/sheet4.xml" Id="Red55b519609a4ea6" /><Relationship Type="http://schemas.openxmlformats.org/officeDocument/2006/relationships/worksheet" Target="/xl/worksheets/sheet5.xml" Id="R455374d659844b4b" /><Relationship Type="http://schemas.openxmlformats.org/officeDocument/2006/relationships/worksheet" Target="/xl/worksheets/sheet6.xml" Id="R381c99fdbe42476e" /><Relationship Type="http://schemas.openxmlformats.org/officeDocument/2006/relationships/worksheet" Target="/xl/worksheets/sheet7.xml" Id="Rc8683d4662804970" /></Relationships>
</file>

<file path=xl/tables/table1.xml><?xml version="1.0" encoding="utf-8"?>
<x:table xmlns:x="http://schemas.openxmlformats.org/spreadsheetml/2006/main" id="1" name="GlossaryTable" displayName="GlossaryTable" ref="A4:M138" headerRowCount="1" totalsRowCount="0" totalsRowShown="0">
  <x:autoFilter ref="A4:M138"/>
  <x:tableColumns count="13">
    <x:tableColumn id="1" name="序号"/>
    <x:tableColumn id="2" name="类别"/>
    <x:tableColumn id="3" name="中文名称"/>
    <x:tableColumn id="4" name="英文/缩写"/>
    <x:tableColumn id="5" name="专业解释"/>
    <x:tableColumn id="6" name="是否参与计算"/>
    <x:tableColumn id="7" name="参与方式/公式作用"/>
    <x:tableColumn id="8" name="数据性质"/>
    <x:tableColumn id="9" name="适用对象"/>
    <x:tableColumn id="10" name="适用业务"/>
    <x:tableColumn id="11" name="数据来源"/>
    <x:tableColumn id="12" name="相关报告/页面"/>
    <x:tableColumn id="13" name="风险与确认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culationChainTable" displayName="CalculationChainTable" ref="A4:J22" headerRowCount="1" totalsRowCount="0" totalsRowShown="0">
  <x:autoFilter ref="A4:J22"/>
  <x:tableColumns count="10">
    <x:tableColumn id="1" name="步骤"/>
    <x:tableColumn id="2" name="处理环节"/>
    <x:tableColumn id="3" name="主要输入"/>
    <x:tableColumn id="4" name="公式/方法"/>
    <x:tableColumn id="5" name="主要输出"/>
    <x:tableColumn id="6" name="参与方式"/>
    <x:tableColumn id="7" name="船舶"/>
    <x:tableColumn id="8" name="岸罐"/>
    <x:tableColumn id="9" name="适用场景"/>
    <x:tableColumn id="10" name="风险与校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ModesTable" displayName="BusinessModesTable" ref="A4:L9" headerRowCount="1" totalsRowCount="0" totalsRowShown="0">
  <x:autoFilter ref="A4:L9"/>
  <x:tableColumns count="12">
    <x:tableColumn id="1" name="业务模式"/>
    <x:tableColumn id="2" name="交付对象"/>
    <x:tableColumn id="3" name="接收对象"/>
    <x:tableColumn id="4" name="作业前测量"/>
    <x:tableColumn id="5" name="作业后测量"/>
    <x:tableColumn id="6" name="核心数量方向"/>
    <x:tableColumn id="7" name="OBQ"/>
    <x:tableColumn id="8" name="ROB"/>
    <x:tableColumn id="9" name="污油舱"/>
    <x:tableColumn id="10" name="压载水"/>
    <x:tableColumn id="11" name="管线/流量计"/>
    <x:tableColumn id="12" name="重点异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eptionRulesTable" displayName="ExceptionRulesTable" ref="A4:I19" headerRowCount="1" totalsRowCount="0" totalsRowShown="0">
  <x:autoFilter ref="A4:I19"/>
  <x:tableColumns count="9">
    <x:tableColumn id="1" name="条件/异常"/>
    <x:tableColumn id="2" name="触发判断"/>
    <x:tableColumn id="3" name="应采取的操作"/>
    <x:tableColumn id="4" name="对计算的影响"/>
    <x:tableColumn id="5" name="是否阻断最终结果"/>
    <x:tableColumn id="6" name="需要的输入"/>
    <x:tableColumn id="7" name="输出/分类"/>
    <x:tableColumn id="8" name="相关报告"/>
    <x:tableColumn id="9" name="待确认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G14" headerRowCount="1" totalsRowCount="0" totalsRowShown="0">
  <x:autoFilter ref="A4:G14"/>
  <x:tableColumns count="7">
    <x:tableColumn id="1" name="类型"/>
    <x:tableColumn id="2" name="名称/编号"/>
    <x:tableColumn id="3" name="用于本工作簿的内容"/>
    <x:tableColumn id="4" name="本地参考文件"/>
    <x:tableColumn id="5" name="公开入口"/>
    <x:tableColumn id="6" name="是否需要业务确认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09a367e1da4b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e0e495cae949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481d26d02141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843b488fc74c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139b06008cb4a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8" customHeight="1">
      <x:c r="A1" s="56" t="str">
        <x:v>容量计重专业术语与业务说明</x:v>
      </x:c>
      <x:c r="B1" s="56"/>
      <x:c r="C1" s="56"/>
      <x:c r="D1" s="56"/>
      <x:c r="E1" s="56"/>
      <x:c r="F1" s="56"/>
      <x:c r="G1" s="56"/>
      <x:c r="H1" s="56"/>
    </x:row>
    <x:row r="2" ht="30" customHeight="1">
      <x:c r="A2" s="85" t="str">
        <x:v>面向装货、卸货、船对船、罐对罐和盘点业务的离线知识库</x:v>
      </x:c>
      <x:c r="B2" s="84"/>
      <x:c r="C2" s="84"/>
      <x:c r="D2" s="84"/>
      <x:c r="E2" s="84"/>
      <x:c r="F2" s="84"/>
      <x:c r="G2" s="84"/>
      <x:c r="H2" s="84"/>
    </x:row>
    <x:row r="3">
      <x:c r="A3" s="86"/>
      <x:c r="B3" s="86"/>
      <x:c r="C3" s="86"/>
      <x:c r="D3" s="86"/>
      <x:c r="E3" s="86"/>
      <x:c r="F3" s="86"/>
      <x:c r="G3" s="86"/>
      <x:c r="H3" s="86"/>
    </x:row>
    <x:row r="4" ht="50" customHeight="1">
      <x:c r="A4" s="87" t="str">
        <x:v>先记住：容量计重不是一个公式，而是“现场测量 → 条件修正 → 查表体积 → 温度/压力修正 → 毛净量 → 质量/重量 → 船岸对账”的完整数据链。</x:v>
      </x:c>
      <x:c r="B4" s="86"/>
      <x:c r="C4" s="86"/>
      <x:c r="D4" s="86"/>
      <x:c r="E4" s="86"/>
      <x:c r="F4" s="86"/>
      <x:c r="G4" s="86"/>
      <x:c r="H4" s="86"/>
    </x:row>
    <x:row r="5">
      <x:c r="A5" s="86"/>
      <x:c r="B5" s="86"/>
      <x:c r="C5" s="86"/>
      <x:c r="D5" s="86"/>
      <x:c r="E5" s="86"/>
      <x:c r="F5" s="86"/>
      <x:c r="G5" s="86"/>
      <x:c r="H5" s="86"/>
    </x:row>
    <x:row r="6" ht="34" customHeight="1">
      <x:c r="A6" s="116" t="str">
        <x:v>步骤</x:v>
      </x:c>
      <x:c r="B6" s="117" t="str">
        <x:v>01 现场测量</x:v>
      </x:c>
      <x:c r="C6" s="117" t="str">
        <x:v>02 液位修正</x:v>
      </x:c>
      <x:c r="D6" s="117" t="str">
        <x:v>03 容量查表</x:v>
      </x:c>
      <x:c r="E6" s="117" t="str">
        <x:v>04 体积换算</x:v>
      </x:c>
      <x:c r="F6" s="117" t="str">
        <x:v>05 毛净处理</x:v>
      </x:c>
      <x:c r="G6" s="117" t="str">
        <x:v>06 质量换算</x:v>
      </x:c>
      <x:c r="H6" s="118" t="str">
        <x:v>07 对账报告</x:v>
      </x:c>
    </x:row>
    <x:row r="7">
      <x:c r="A7" s="48" t="str">
        <x:v>核心内容</x:v>
      </x:c>
      <x:c r="B7" s="49" t="str">
        <x:v>空距/实高、温度、油水界面、吃水、纵倾、横倾</x:v>
      </x:c>
      <x:c r="C7" s="49" t="str">
        <x:v>仪器、纵倾、横倾、舱壁/浮顶等适用修正</x:v>
      </x:c>
      <x:c r="D7" s="49" t="str">
        <x:v>修正液位查舱容表/罐容表得到TOV和FW</x:v>
      </x:c>
      <x:c r="E7" s="49" t="str">
        <x:v>GOV=TOV-FW；GSV=GOV×VCF</x:v>
      </x:c>
      <x:c r="F7" s="49" t="str">
        <x:v>NSV=GSV×(1-S&amp;W%)</x:v>
      </x:c>
      <x:c r="G7" s="49" t="str">
        <x:v>标准体积×标准密度；适用时空气浮力修正</x:v>
      </x:c>
      <x:c r="H7" s="49" t="str">
        <x:v>船量、岸量、提单量、流量计量统一口径比较</x:v>
      </x:c>
    </x:row>
    <x:row r="8">
      <x:c r="A8" s="50" t="str">
        <x:v>数据性质</x:v>
      </x:c>
      <x:c r="B8" s="51" t="str">
        <x:v>人工/设备输入</x:v>
      </x:c>
      <x:c r="C8" s="51" t="str">
        <x:v>条件计算</x:v>
      </x:c>
      <x:c r="D8" s="51" t="str">
        <x:v>查表/插值</x:v>
      </x:c>
      <x:c r="E8" s="51" t="str">
        <x:v>系统计算</x:v>
      </x:c>
      <x:c r="F8" s="51" t="str">
        <x:v>实验室+系统</x:v>
      </x:c>
      <x:c r="G8" s="51" t="str">
        <x:v>系统计算</x:v>
      </x:c>
      <x:c r="H8" s="51" t="str">
        <x:v>系统分析</x:v>
      </x:c>
    </x:row>
    <x:row r="9">
      <x:c r="A9" s="52" t="str">
        <x:v>主要风险</x:v>
      </x:c>
      <x:c r="B9" s="53" t="str">
        <x:v>测量点、单位或状态不一致</x:v>
      </x:c>
      <x:c r="C9" s="53" t="str">
        <x:v>把普通修正和楔形计算重复使用</x:v>
      </x:c>
      <x:c r="D9" s="53" t="str">
        <x:v>舱罐表版本错误</x:v>
      </x:c>
      <x:c r="E9" s="53" t="str">
        <x:v>VCF标准、版本或标准温度错误</x:v>
      </x:c>
      <x:c r="F9" s="53" t="str">
        <x:v>FW和S&amp;W重复或漏扣</x:v>
      </x:c>
      <x:c r="G9" s="53" t="str">
        <x:v>空气中/真空中密度混用</x:v>
      </x:c>
      <x:c r="H9" s="53" t="str">
        <x:v>毛净量、温度和单位未统一</x:v>
      </x:c>
    </x:row>
    <x:row r="10">
      <x:c r="A10" s="86"/>
      <x:c r="B10" s="86"/>
      <x:c r="C10" s="86"/>
      <x:c r="D10" s="86"/>
      <x:c r="E10" s="86"/>
      <x:c r="F10" s="86"/>
      <x:c r="G10" s="86"/>
      <x:c r="H10" s="86"/>
    </x:row>
    <x:row r="11" ht="34" customHeight="1">
      <x:c r="A11" s="126" t="str">
        <x:v>四种计算参与方式</x:v>
      </x:c>
      <x:c r="B11" s="127"/>
      <x:c r="C11" s="127"/>
      <x:c r="D11" s="127"/>
      <x:c r="E11" s="127" t="str">
        <x:v>建议阅读顺序</x:v>
      </x:c>
      <x:c r="F11" s="127"/>
      <x:c r="G11" s="127"/>
      <x:c r="H11" s="128"/>
    </x:row>
    <x:row r="12">
      <x:c r="A12" s="49" t="str">
        <x:v>直接参与</x:v>
      </x:c>
      <x:c r="B12" s="49" t="str">
        <x:v>进入公式或成为计算结果</x:v>
      </x:c>
      <x:c r="C12" s="49" t="str">
        <x:v>示例</x:v>
      </x:c>
      <x:c r="D12" s="49" t="str">
        <x:v>TOV、FW、VCF、GSV、密度</x:v>
      </x:c>
      <x:c r="E12" s="49" t="str">
        <x:v>1</x:v>
      </x:c>
      <x:c r="F12" s="49" t="str">
        <x:v>快速入门</x:v>
      </x:c>
      <x:c r="G12" s="49" t="str">
        <x:v>先建立整体计算链</x:v>
      </x:c>
      <x:c r="H12" s="49" t="str">
        <x:v>本页</x:v>
      </x:c>
    </x:row>
    <x:row r="13">
      <x:c r="A13" s="51" t="str">
        <x:v>间接影响</x:v>
      </x:c>
      <x:c r="B13" s="51" t="str">
        <x:v>改变修正条件或差异解释</x:v>
      </x:c>
      <x:c r="C13" s="51" t="str">
        <x:v>示例</x:v>
      </x:c>
      <x:c r="D13" s="51" t="str">
        <x:v>压载水、时间日志、取样方式</x:v>
      </x:c>
      <x:c r="E13" s="51" t="str">
        <x:v>2</x:v>
      </x:c>
      <x:c r="F13" s="51" t="str">
        <x:v>业务模式</x:v>
      </x:c>
      <x:c r="G13" s="51" t="str">
        <x:v>理解不同转移模式的前后量</x:v>
      </x:c>
      <x:c r="H13" s="51" t="str">
        <x:v>业务模式页</x:v>
      </x:c>
    </x:row>
    <x:row r="14">
      <x:c r="A14" s="51" t="str">
        <x:v>条件参与</x:v>
      </x:c>
      <x:c r="B14" s="51" t="str">
        <x:v>满足特定场景才进入计算</x:v>
      </x:c>
      <x:c r="C14" s="51" t="str">
        <x:v>示例</x:v>
      </x:c>
      <x:c r="D14" s="51" t="str">
        <x:v>楔形公式、ROB、浮顶修正、CPL</x:v>
      </x:c>
      <x:c r="E14" s="51" t="str">
        <x:v>3</x:v>
      </x:c>
      <x:c r="F14" s="51" t="str">
        <x:v>计算链路</x:v>
      </x:c>
      <x:c r="G14" s="51" t="str">
        <x:v>理解每个公式和输入来源</x:v>
      </x:c>
      <x:c r="H14" s="51" t="str">
        <x:v>计算链路页</x:v>
      </x:c>
    </x:row>
    <x:row r="15">
      <x:c r="A15" s="53" t="str">
        <x:v>不参与/仅记录</x:v>
      </x:c>
      <x:c r="B15" s="53" t="str">
        <x:v>不进入公式但保留证据</x:v>
      </x:c>
      <x:c r="C15" s="53" t="str">
        <x:v>示例</x:v>
      </x:c>
      <x:c r="D15" s="53" t="str">
        <x:v>抗议信、设备编号、协调会议</x:v>
      </x:c>
      <x:c r="E15" s="53" t="str">
        <x:v>4</x:v>
      </x:c>
      <x:c r="F15" s="53" t="str">
        <x:v>术语总表</x:v>
      </x:c>
      <x:c r="G15" s="53" t="str">
        <x:v>遇到字段时检索定义</x:v>
      </x:c>
      <x:c r="H15" s="53" t="str">
        <x:v>术语总表页</x:v>
      </x:c>
    </x:row>
    <x:row r="16">
      <x:c r="A16" s="86"/>
      <x:c r="B16" s="86"/>
      <x:c r="C16" s="86"/>
      <x:c r="D16" s="86"/>
      <x:c r="E16" s="86"/>
      <x:c r="F16" s="86"/>
      <x:c r="G16" s="86"/>
      <x:c r="H16" s="86"/>
    </x:row>
    <x:row r="17" ht="44" customHeight="1">
      <x:c r="A17" s="92" t="str">
        <x:v>重要边界：本工作簿用于业务学习和产品设计。正式计量、合同结算和争议处理应以合同、授权标准原文、经批准舱罐表以及实际业务人员确认结果为准。</x:v>
      </x:c>
      <x:c r="B17" s="86"/>
      <x:c r="C17" s="86"/>
      <x:c r="D17" s="86"/>
      <x:c r="E17" s="86"/>
      <x:c r="F17" s="86"/>
      <x:c r="G17" s="86"/>
      <x:c r="H17" s="86"/>
    </x:row>
    <x:row r="18">
      <x:c r="A18" s="86"/>
      <x:c r="B18" s="86"/>
      <x:c r="C18" s="86"/>
      <x:c r="D18" s="86"/>
      <x:c r="E18" s="86"/>
      <x:c r="F18" s="86"/>
      <x:c r="G18" s="86"/>
      <x:c r="H18" s="86"/>
    </x:row>
    <x:row r="19">
      <x:c r="A19" s="86"/>
      <x:c r="B19" s="86"/>
      <x:c r="C19" s="86"/>
      <x:c r="D19" s="86"/>
      <x:c r="E19" s="86"/>
      <x:c r="F19" s="86"/>
      <x:c r="G19" s="86"/>
      <x:c r="H19" s="86"/>
    </x:row>
    <x:row r="20">
      <x:c r="A20" s="86"/>
      <x:c r="B20" s="86"/>
      <x:c r="C20" s="86"/>
      <x:c r="D20" s="86"/>
      <x:c r="E20" s="86"/>
      <x:c r="F20" s="86"/>
      <x:c r="G20" s="86"/>
      <x:c r="H20" s="86"/>
    </x:row>
  </x:sheetData>
  <x:mergeCells>
    <x:mergeCell ref="A1:H1"/>
    <x:mergeCell ref="A2:H2"/>
    <x:mergeCell ref="A4:H4"/>
    <x:mergeCell ref="A11:D11"/>
    <x:mergeCell ref="E11:H11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20" hidden="0" customWidth="1"/>
    <x:col min="4" max="4" width="27" hidden="0" customWidth="1"/>
    <x:col min="5" max="5" width="48" hidden="0" customWidth="1"/>
    <x:col min="6" max="6" width="16" hidden="0" customWidth="1"/>
    <x:col min="7" max="7" width="34" hidden="0" customWidth="1"/>
    <x:col min="8" max="8" width="18" hidden="0" customWidth="1"/>
    <x:col min="9" max="9" width="22" hidden="0" customWidth="1"/>
    <x:col min="10" max="10" width="28" hidden="0" customWidth="1"/>
    <x:col min="11" max="11" width="24" hidden="0" customWidth="1"/>
    <x:col min="12" max="12" width="25" hidden="0" customWidth="1"/>
    <x:col min="13" max="13" width="40" hidden="0" customWidth="1"/>
  </x:cols>
  <x:sheetData>
    <x:row r="1" ht="38" customHeight="1">
      <x:c r="A1" s="56" t="str">
        <x:v>容量计重专业术语总表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 ht="30" customHeight="1">
      <x:c r="A2" s="93" t="str">
        <x:v>共 134 个术语；可按类别、参与计算方式、对象、业务模式和数据来源筛选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</x:row>
    <x:row r="4" ht="34" customHeight="1">
      <x:c r="A4" s="116" t="str">
        <x:v>序号</x:v>
      </x:c>
      <x:c r="B4" s="117" t="str">
        <x:v>类别</x:v>
      </x:c>
      <x:c r="C4" s="117" t="str">
        <x:v>中文名称</x:v>
      </x:c>
      <x:c r="D4" s="117" t="str">
        <x:v>英文/缩写</x:v>
      </x:c>
      <x:c r="E4" s="117" t="str">
        <x:v>专业解释</x:v>
      </x:c>
      <x:c r="F4" s="117" t="str">
        <x:v>是否参与计算</x:v>
      </x:c>
      <x:c r="G4" s="117" t="str">
        <x:v>参与方式/公式作用</x:v>
      </x:c>
      <x:c r="H4" s="117" t="str">
        <x:v>数据性质</x:v>
      </x:c>
      <x:c r="I4" s="117" t="str">
        <x:v>适用对象</x:v>
      </x:c>
      <x:c r="J4" s="117" t="str">
        <x:v>适用业务</x:v>
      </x:c>
      <x:c r="K4" s="117" t="str">
        <x:v>数据来源</x:v>
      </x:c>
      <x:c r="L4" s="117" t="str">
        <x:v>相关报告/页面</x:v>
      </x:c>
      <x:c r="M4" s="118" t="str">
        <x:v>风险与确认点</x:v>
      </x:c>
    </x:row>
    <x:row r="5">
      <x:c r="A5" s="49" t="n">
        <x:v>1</x:v>
      </x:c>
      <x:c r="B5" s="49" t="str">
        <x:v>业务基础</x:v>
      </x:c>
      <x:c r="C5" s="49" t="str">
        <x:v>容量计重</x:v>
      </x:c>
      <x:c r="D5" s="49" t="str">
        <x:v>Quantity determination</x:v>
      </x:c>
      <x:c r="E5" s="49" t="str">
        <x:v>通过液位、温度、密度、舱罐容积表和质量检测等数据，确定液体货物体积、质量或商业重量的业务过程。</x:v>
      </x:c>
      <x:c r="F5" s="49" t="str">
        <x:v>总体过程</x:v>
      </x:c>
      <x:c r="G5" s="49" t="str">
        <x:v>统领全部计算</x:v>
      </x:c>
      <x:c r="H5" s="49" t="str">
        <x:v>业务概念</x:v>
      </x:c>
      <x:c r="I5" s="49" t="str">
        <x:v>船舶/岸罐</x:v>
      </x:c>
      <x:c r="J5" s="49" t="str">
        <x:v>全部</x:v>
      </x:c>
      <x:c r="K5" s="49" t="str">
        <x:v>业务方案</x:v>
      </x:c>
      <x:c r="L5" s="49" t="str">
        <x:v>全部报告</x:v>
      </x:c>
      <x:c r="M5" s="49" t="str">
        <x:v>不同标准、基准温度和毛净口径不可混用</x:v>
      </x:c>
    </x:row>
    <x:row r="6">
      <x:c r="A6" s="51" t="n">
        <x:v>2</x:v>
      </x:c>
      <x:c r="B6" s="51" t="str">
        <x:v>业务基础</x:v>
      </x:c>
      <x:c r="C6" s="51" t="str">
        <x:v>交接计量</x:v>
      </x:c>
      <x:c r="D6" s="51" t="str">
        <x:v>Custody transfer measurement</x:v>
      </x:c>
      <x:c r="E6" s="51" t="str">
        <x:v>货物所有权或保管责任转移时，为结算和责任确认进行的正式计量。</x:v>
      </x:c>
      <x:c r="F6" s="51" t="str">
        <x:v>间接</x:v>
      </x:c>
      <x:c r="G6" s="51" t="str">
        <x:v>确定计算和签署要求</x:v>
      </x:c>
      <x:c r="H6" s="51" t="str">
        <x:v>业务概念</x:v>
      </x:c>
      <x:c r="I6" s="51" t="str">
        <x:v>船舶/岸罐/流量计</x:v>
      </x:c>
      <x:c r="J6" s="51" t="str">
        <x:v>装货/卸货/船对船/罐对罐</x:v>
      </x:c>
      <x:c r="K6" s="51" t="str">
        <x:v>合同/检验方案</x:v>
      </x:c>
      <x:c r="L6" s="51" t="str">
        <x:v>数量报告/对账报告</x:v>
      </x:c>
      <x:c r="M6" s="51" t="str">
        <x:v>必须使用合同认可的方法和标准</x:v>
      </x:c>
    </x:row>
    <x:row r="7">
      <x:c r="A7" s="51" t="n">
        <x:v>3</x:v>
      </x:c>
      <x:c r="B7" s="51" t="str">
        <x:v>业务基础</x:v>
      </x:c>
      <x:c r="C7" s="51" t="str">
        <x:v>装货</x:v>
      </x:c>
      <x:c r="D7" s="51" t="str">
        <x:v>Loading</x:v>
      </x:c>
      <x:c r="E7" s="51" t="str">
        <x:v>货物从岸罐或交付船转入接收船的作业。</x:v>
      </x:c>
      <x:c r="F7" s="51" t="str">
        <x:v>直接</x:v>
      </x:c>
      <x:c r="G7" s="51" t="str">
        <x:v>决定库存增量方向</x:v>
      </x:c>
      <x:c r="H7" s="51" t="str">
        <x:v>业务模式</x:v>
      </x:c>
      <x:c r="I7" s="51" t="str">
        <x:v>岸罐→船/船→船</x:v>
      </x:c>
      <x:c r="J7" s="51" t="str">
        <x:v>装货</x:v>
      </x:c>
      <x:c r="K7" s="51" t="str">
        <x:v>作业设置</x:v>
      </x:c>
      <x:c r="L7" s="51" t="str">
        <x:v>装货报告</x:v>
      </x:c>
      <x:c r="M7" s="51" t="str">
        <x:v>装货量通常为装后船量减OBQ</x:v>
      </x:c>
    </x:row>
    <x:row r="8">
      <x:c r="A8" s="51" t="n">
        <x:v>4</x:v>
      </x:c>
      <x:c r="B8" s="51" t="str">
        <x:v>业务基础</x:v>
      </x:c>
      <x:c r="C8" s="51" t="str">
        <x:v>卸货</x:v>
      </x:c>
      <x:c r="D8" s="51" t="str">
        <x:v>Discharge</x:v>
      </x:c>
      <x:c r="E8" s="51" t="str">
        <x:v>货物从船舶转入岸罐或接收船的作业。</x:v>
      </x:c>
      <x:c r="F8" s="51" t="str">
        <x:v>直接</x:v>
      </x:c>
      <x:c r="G8" s="51" t="str">
        <x:v>决定库存减少方向</x:v>
      </x:c>
      <x:c r="H8" s="51" t="str">
        <x:v>业务模式</x:v>
      </x:c>
      <x:c r="I8" s="51" t="str">
        <x:v>船→岸罐/船→船</x:v>
      </x:c>
      <x:c r="J8" s="51" t="str">
        <x:v>卸货</x:v>
      </x:c>
      <x:c r="K8" s="51" t="str">
        <x:v>作业设置</x:v>
      </x:c>
      <x:c r="L8" s="51" t="str">
        <x:v>卸货报告</x:v>
      </x:c>
      <x:c r="M8" s="51" t="str">
        <x:v>卸货量通常为抵港船量减ROB</x:v>
      </x:c>
    </x:row>
    <x:row r="9">
      <x:c r="A9" s="51" t="n">
        <x:v>5</x:v>
      </x:c>
      <x:c r="B9" s="51" t="str">
        <x:v>业务基础</x:v>
      </x:c>
      <x:c r="C9" s="51" t="str">
        <x:v>船对船</x:v>
      </x:c>
      <x:c r="D9" s="51" t="str">
        <x:v>Ship-to-Ship / STS</x:v>
      </x:c>
      <x:c r="E9" s="51" t="str">
        <x:v>交付船与接收船直接进行货物转移，两船都要形成作业前后库存快照。</x:v>
      </x:c>
      <x:c r="F9" s="51" t="str">
        <x:v>直接</x:v>
      </x:c>
      <x:c r="G9" s="51" t="str">
        <x:v>比较交付减少量与接收增加量</x:v>
      </x:c>
      <x:c r="H9" s="51" t="str">
        <x:v>业务模式</x:v>
      </x:c>
      <x:c r="I9" s="51" t="str">
        <x:v>两艘船</x:v>
      </x:c>
      <x:c r="J9" s="51" t="str">
        <x:v>船对船</x:v>
      </x:c>
      <x:c r="K9" s="51" t="str">
        <x:v>作业设置</x:v>
      </x:c>
      <x:c r="L9" s="51" t="str">
        <x:v>双船数量报告</x:v>
      </x:c>
      <x:c r="M9" s="51" t="str">
        <x:v>两船姿态和舱容表都需独立管理</x:v>
      </x:c>
    </x:row>
    <x:row r="10">
      <x:c r="A10" s="51" t="n">
        <x:v>6</x:v>
      </x:c>
      <x:c r="B10" s="51" t="str">
        <x:v>业务基础</x:v>
      </x:c>
      <x:c r="C10" s="51" t="str">
        <x:v>罐对罐</x:v>
      </x:c>
      <x:c r="D10" s="51" t="str">
        <x:v>Tank-to-Tank</x:v>
      </x:c>
      <x:c r="E10" s="51" t="str">
        <x:v>货物在两个岸罐之间转移，发出罐和接收罐分别进行前后计量。</x:v>
      </x:c>
      <x:c r="F10" s="51" t="str">
        <x:v>直接</x:v>
      </x:c>
      <x:c r="G10" s="51" t="str">
        <x:v>比较发出量与接收量</x:v>
      </x:c>
      <x:c r="H10" s="51" t="str">
        <x:v>业务模式</x:v>
      </x:c>
      <x:c r="I10" s="51" t="str">
        <x:v>两个岸罐</x:v>
      </x:c>
      <x:c r="J10" s="51" t="str">
        <x:v>罐对罐</x:v>
      </x:c>
      <x:c r="K10" s="51" t="str">
        <x:v>作业设置</x:v>
      </x:c>
      <x:c r="L10" s="51" t="str">
        <x:v>岸罐数量报告</x:v>
      </x:c>
      <x:c r="M10" s="51" t="str">
        <x:v>共同管线量和浮顶修正可能影响差异</x:v>
      </x:c>
    </x:row>
    <x:row r="11">
      <x:c r="A11" s="51" t="n">
        <x:v>7</x:v>
      </x:c>
      <x:c r="B11" s="51" t="str">
        <x:v>业务基础</x:v>
      </x:c>
      <x:c r="C11" s="51" t="str">
        <x:v>盘点</x:v>
      </x:c>
      <x:c r="D11" s="51" t="str">
        <x:v>Inventory</x:v>
      </x:c>
      <x:c r="E11" s="51" t="str">
        <x:v>在指定时点确定舱罐库存，不一定发生货物转移。</x:v>
      </x:c>
      <x:c r="F11" s="51" t="str">
        <x:v>直接</x:v>
      </x:c>
      <x:c r="G11" s="51" t="str">
        <x:v>输出时点库存</x:v>
      </x:c>
      <x:c r="H11" s="51" t="str">
        <x:v>业务模式</x:v>
      </x:c>
      <x:c r="I11" s="51" t="str">
        <x:v>船舱/岸罐</x:v>
      </x:c>
      <x:c r="J11" s="51" t="str">
        <x:v>盘点</x:v>
      </x:c>
      <x:c r="K11" s="51" t="str">
        <x:v>盘点范围</x:v>
      </x:c>
      <x:c r="L11" s="51" t="str">
        <x:v>盘点报告</x:v>
      </x:c>
      <x:c r="M11" s="51" t="str">
        <x:v>不使用前后库存差计算转移量</x:v>
      </x:c>
    </x:row>
    <x:row r="12">
      <x:c r="A12" s="51" t="n">
        <x:v>8</x:v>
      </x:c>
      <x:c r="B12" s="51" t="str">
        <x:v>业务基础</x:v>
      </x:c>
      <x:c r="C12" s="51" t="str">
        <x:v>驳运</x:v>
      </x:c>
      <x:c r="D12" s="51" t="str">
        <x:v>Lightering</x:v>
      </x:c>
      <x:c r="E12" s="51" t="str">
        <x:v>利用驳船或较小船舶分批接收或交付货物。</x:v>
      </x:c>
      <x:c r="F12" s="51" t="str">
        <x:v>直接</x:v>
      </x:c>
      <x:c r="G12" s="51" t="str">
        <x:v>各船前后量分别计算</x:v>
      </x:c>
      <x:c r="H12" s="51" t="str">
        <x:v>业务模式</x:v>
      </x:c>
      <x:c r="I12" s="51" t="str">
        <x:v>多艘船</x:v>
      </x:c>
      <x:c r="J12" s="51" t="str">
        <x:v>驳运/船对船</x:v>
      </x:c>
      <x:c r="K12" s="51" t="str">
        <x:v>作业设置</x:v>
      </x:c>
      <x:c r="L12" s="51" t="str">
        <x:v>驳运报告</x:v>
      </x:c>
      <x:c r="M12" s="51" t="str">
        <x:v>所有参与船舶均需前后计量</x:v>
      </x:c>
    </x:row>
    <x:row r="13">
      <x:c r="A13" s="51" t="n">
        <x:v>9</x:v>
      </x:c>
      <x:c r="B13" s="51" t="str">
        <x:v>业务基础</x:v>
      </x:c>
      <x:c r="C13" s="51" t="str">
        <x:v>计量边界</x:v>
      </x:c>
      <x:c r="D13" s="51" t="str">
        <x:v>Measurement boundary</x:v>
      </x:c>
      <x:c r="E13" s="51" t="str">
        <x:v>明确哪些舱罐、管线、流量计和残留物属于本次数量核算范围。</x:v>
      </x:c>
      <x:c r="F13" s="51" t="str">
        <x:v>直接</x:v>
      </x:c>
      <x:c r="G13" s="51" t="str">
        <x:v>决定数量是否纳入</x:v>
      </x:c>
      <x:c r="H13" s="51" t="str">
        <x:v>控制参数</x:v>
      </x:c>
      <x:c r="I13" s="51" t="str">
        <x:v>全部</x:v>
      </x:c>
      <x:c r="J13" s="51" t="str">
        <x:v>全部</x:v>
      </x:c>
      <x:c r="K13" s="51" t="str">
        <x:v>协调会议</x:v>
      </x:c>
      <x:c r="L13" s="51" t="str">
        <x:v>计算参数/对账</x:v>
      </x:c>
      <x:c r="M13" s="51" t="str">
        <x:v>边界不清是船岸差的重要来源</x:v>
      </x:c>
    </x:row>
    <x:row r="14">
      <x:c r="A14" s="51" t="n">
        <x:v>10</x:v>
      </x:c>
      <x:c r="B14" s="51" t="str">
        <x:v>业务基础</x:v>
      </x:c>
      <x:c r="C14" s="51" t="str">
        <x:v>标准温度</x:v>
      </x:c>
      <x:c r="D14" s="51" t="str">
        <x:v>Reference temperature</x:v>
      </x:c>
      <x:c r="E14" s="51" t="str">
        <x:v>体积换算采用的统一温度基准，如15°C、20°C或60°F。</x:v>
      </x:c>
      <x:c r="F14" s="51" t="str">
        <x:v>直接</x:v>
      </x:c>
      <x:c r="G14" s="51" t="str">
        <x:v>VCF和标准体积的基准</x:v>
      </x:c>
      <x:c r="H14" s="51" t="str">
        <x:v>输入参数</x:v>
      </x:c>
      <x:c r="I14" s="51" t="str">
        <x:v>货物</x:v>
      </x:c>
      <x:c r="J14" s="51" t="str">
        <x:v>全部</x:v>
      </x:c>
      <x:c r="K14" s="51" t="str">
        <x:v>合同/货物主数据</x:v>
      </x:c>
      <x:c r="L14" s="51" t="str">
        <x:v>计算参数</x:v>
      </x:c>
      <x:c r="M14" s="51" t="str">
        <x:v>同一作业不得混用不同标准温度</x:v>
      </x:c>
    </x:row>
    <x:row r="15">
      <x:c r="A15" s="51" t="n">
        <x:v>11</x:v>
      </x:c>
      <x:c r="B15" s="51" t="str">
        <x:v>业务基础</x:v>
      </x:c>
      <x:c r="C15" s="51" t="str">
        <x:v>毛量</x:v>
      </x:c>
      <x:c r="D15" s="51" t="str">
        <x:v>Gross quantity</x:v>
      </x:c>
      <x:c r="E15" s="51" t="str">
        <x:v>未扣除货物中悬浮沉淀物和水S&amp;W的数量；通常已扣除游离水。</x:v>
      </x:c>
      <x:c r="F15" s="51" t="str">
        <x:v>直接</x:v>
      </x:c>
      <x:c r="G15" s="51" t="str">
        <x:v>形成GOV/GSV/GSM/GSW</x:v>
      </x:c>
      <x:c r="H15" s="51" t="str">
        <x:v>计算口径</x:v>
      </x:c>
      <x:c r="I15" s="51" t="str">
        <x:v>货物</x:v>
      </x:c>
      <x:c r="J15" s="51" t="str">
        <x:v>全部</x:v>
      </x:c>
      <x:c r="K15" s="51" t="str">
        <x:v>系统计算</x:v>
      </x:c>
      <x:c r="L15" s="51" t="str">
        <x:v>数量换算</x:v>
      </x:c>
      <x:c r="M15" s="51" t="str">
        <x:v>毛量不等于包含游离水的TOV</x:v>
      </x:c>
    </x:row>
    <x:row r="16">
      <x:c r="A16" s="51" t="n">
        <x:v>12</x:v>
      </x:c>
      <x:c r="B16" s="51" t="str">
        <x:v>业务基础</x:v>
      </x:c>
      <x:c r="C16" s="51" t="str">
        <x:v>净量</x:v>
      </x:c>
      <x:c r="D16" s="51" t="str">
        <x:v>Net quantity</x:v>
      </x:c>
      <x:c r="E16" s="51" t="str">
        <x:v>在毛标准量基础上进一步扣除S&amp;W后的货物数量。</x:v>
      </x:c>
      <x:c r="F16" s="51" t="str">
        <x:v>直接</x:v>
      </x:c>
      <x:c r="G16" s="51" t="str">
        <x:v>形成NSV/NSM/NSW</x:v>
      </x:c>
      <x:c r="H16" s="51" t="str">
        <x:v>计算口径</x:v>
      </x:c>
      <x:c r="I16" s="51" t="str">
        <x:v>货物</x:v>
      </x:c>
      <x:c r="J16" s="51" t="str">
        <x:v>全部</x:v>
      </x:c>
      <x:c r="K16" s="51" t="str">
        <x:v>实验室+系统</x:v>
      </x:c>
      <x:c r="L16" s="51" t="str">
        <x:v>数量换算</x:v>
      </x:c>
      <x:c r="M16" s="51" t="str">
        <x:v>FW和S&amp;W在不同步骤扣除</x:v>
      </x:c>
    </x:row>
    <x:row r="17">
      <x:c r="A17" s="51" t="n">
        <x:v>13</x:v>
      </x:c>
      <x:c r="B17" s="51" t="str">
        <x:v>船舶与舱罐</x:v>
      </x:c>
      <x:c r="C17" s="51" t="str">
        <x:v>船舶</x:v>
      </x:c>
      <x:c r="D17" s="51" t="str">
        <x:v>Vessel</x:v>
      </x:c>
      <x:c r="E17" s="51" t="str">
        <x:v>承担海上货物运输的计量对象，包含货舱、污油舱、压载舱、管线等。</x:v>
      </x:c>
      <x:c r="F17" s="51" t="str">
        <x:v>间接</x:v>
      </x:c>
      <x:c r="G17" s="51" t="str">
        <x:v>提供舱容和姿态条件</x:v>
      </x:c>
      <x:c r="H17" s="51" t="str">
        <x:v>计量对象</x:v>
      </x:c>
      <x:c r="I17" s="51" t="str">
        <x:v>船舶</x:v>
      </x:c>
      <x:c r="J17" s="51" t="str">
        <x:v>装货/卸货/船对船</x:v>
      </x:c>
      <x:c r="K17" s="51" t="str">
        <x:v>船舶资料</x:v>
      </x:c>
      <x:c r="L17" s="51" t="str">
        <x:v>船舶报告</x:v>
      </x:c>
      <x:c r="M17" s="51" t="str">
        <x:v>船舶资料版本必须与实际船舶一致</x:v>
      </x:c>
    </x:row>
    <x:row r="18">
      <x:c r="A18" s="51" t="n">
        <x:v>14</x:v>
      </x:c>
      <x:c r="B18" s="51" t="str">
        <x:v>船舶与舱罐</x:v>
      </x:c>
      <x:c r="C18" s="51" t="str">
        <x:v>货舱</x:v>
      </x:c>
      <x:c r="D18" s="51" t="str">
        <x:v>Cargo tank</x:v>
      </x:c>
      <x:c r="E18" s="51" t="str">
        <x:v>用于装载货物的船舱，是船舶分舱计量的基本单位。</x:v>
      </x:c>
      <x:c r="F18" s="51" t="str">
        <x:v>直接</x:v>
      </x:c>
      <x:c r="G18" s="51" t="str">
        <x:v>按舱计算TOV至NSV</x:v>
      </x:c>
      <x:c r="H18" s="51" t="str">
        <x:v>计量对象</x:v>
      </x:c>
      <x:c r="I18" s="51" t="str">
        <x:v>船舶</x:v>
      </x:c>
      <x:c r="J18" s="51" t="str">
        <x:v>装货/卸货/船对船/盘点</x:v>
      </x:c>
      <x:c r="K18" s="51" t="str">
        <x:v>船舱资料</x:v>
      </x:c>
      <x:c r="L18" s="51" t="str">
        <x:v>空距报告</x:v>
      </x:c>
      <x:c r="M18" s="51" t="str">
        <x:v>每舱单独保存液位、温度、FW和修正</x:v>
      </x:c>
    </x:row>
    <x:row r="19">
      <x:c r="A19" s="51" t="n">
        <x:v>15</x:v>
      </x:c>
      <x:c r="B19" s="51" t="str">
        <x:v>船舶与舱罐</x:v>
      </x:c>
      <x:c r="C19" s="51" t="str">
        <x:v>岸罐</x:v>
      </x:c>
      <x:c r="D19" s="51" t="str">
        <x:v>Shore tank</x:v>
      </x:c>
      <x:c r="E19" s="51" t="str">
        <x:v>码头或库区用于储存和交接货物的储罐。</x:v>
      </x:c>
      <x:c r="F19" s="51" t="str">
        <x:v>直接</x:v>
      </x:c>
      <x:c r="G19" s="51" t="str">
        <x:v>按罐计算库存增减</x:v>
      </x:c>
      <x:c r="H19" s="51" t="str">
        <x:v>计量对象</x:v>
      </x:c>
      <x:c r="I19" s="51" t="str">
        <x:v>岸罐</x:v>
      </x:c>
      <x:c r="J19" s="51" t="str">
        <x:v>装货/卸货/罐对罐/盘点</x:v>
      </x:c>
      <x:c r="K19" s="51" t="str">
        <x:v>岸罐资料</x:v>
      </x:c>
      <x:c r="L19" s="51" t="str">
        <x:v>岸罐数量报告</x:v>
      </x:c>
      <x:c r="M19" s="51" t="str">
        <x:v>固定顶、浮顶、保温等类型影响修正</x:v>
      </x:c>
    </x:row>
    <x:row r="20">
      <x:c r="A20" s="51" t="n">
        <x:v>16</x:v>
      </x:c>
      <x:c r="B20" s="51" t="str">
        <x:v>船舶与舱罐</x:v>
      </x:c>
      <x:c r="C20" s="51" t="str">
        <x:v>污油舱</x:v>
      </x:c>
      <x:c r="D20" s="51" t="str">
        <x:v>Slop tank</x:v>
      </x:c>
      <x:c r="E20" s="51" t="str">
        <x:v>收集洗舱、扫舱、脏压载分离等产生的油水沉淀物混合物的专用舱。</x:v>
      </x:c>
      <x:c r="F20" s="51" t="str">
        <x:v>条件</x:v>
      </x:c>
      <x:c r="G20" s="51" t="str">
        <x:v>混装时作为OBQ；卸后残留可作为ROB</x:v>
      </x:c>
      <x:c r="H20" s="51" t="str">
        <x:v>计量对象</x:v>
      </x:c>
      <x:c r="I20" s="51" t="str">
        <x:v>船舶</x:v>
      </x:c>
      <x:c r="J20" s="51" t="str">
        <x:v>装货/卸货</x:v>
      </x:c>
      <x:c r="K20" s="51" t="str">
        <x:v>船舶资料+测量</x:v>
      </x:c>
      <x:c r="L20" s="51" t="str">
        <x:v>污油舱/OBQ/ROB报告</x:v>
      </x:c>
      <x:c r="M20" s="51" t="str">
        <x:v>是否计入取决于与本次货物的混合和转移关系</x:v>
      </x:c>
    </x:row>
    <x:row r="21">
      <x:c r="A21" s="51" t="n">
        <x:v>17</x:v>
      </x:c>
      <x:c r="B21" s="51" t="str">
        <x:v>船舶与舱罐</x:v>
      </x:c>
      <x:c r="C21" s="51" t="str">
        <x:v>压载舱</x:v>
      </x:c>
      <x:c r="D21" s="51" t="str">
        <x:v>Ballast tank</x:v>
      </x:c>
      <x:c r="E21" s="51" t="str">
        <x:v>装载压载水以保持船舶吃水、纵倾、横倾和稳性的舱。</x:v>
      </x:c>
      <x:c r="F21" s="51" t="str">
        <x:v>间接</x:v>
      </x:c>
      <x:c r="G21" s="51" t="str">
        <x:v>影响船舶姿态；正常不计入货量</x:v>
      </x:c>
      <x:c r="H21" s="51" t="str">
        <x:v>计量对象</x:v>
      </x:c>
      <x:c r="I21" s="51" t="str">
        <x:v>船舶</x:v>
      </x:c>
      <x:c r="J21" s="51" t="str">
        <x:v>装货/卸货/船对船</x:v>
      </x:c>
      <x:c r="K21" s="51" t="str">
        <x:v>船舶资料+现场记录</x:v>
      </x:c>
      <x:c r="L21" s="51" t="str">
        <x:v>压载舱检查</x:v>
      </x:c>
      <x:c r="M21" s="51" t="str">
        <x:v>发现货物时转入异常货物计量</x:v>
      </x:c>
    </x:row>
    <x:row r="22">
      <x:c r="A22" s="51" t="n">
        <x:v>18</x:v>
      </x:c>
      <x:c r="B22" s="51" t="str">
        <x:v>船舶与舱罐</x:v>
      </x:c>
      <x:c r="C22" s="51" t="str">
        <x:v>隔离压载舱</x:v>
      </x:c>
      <x:c r="D22" s="51" t="str">
        <x:v>Segregated ballast tank</x:v>
      </x:c>
      <x:c r="E22" s="51" t="str">
        <x:v>与货物系统结构隔离的专用压载舱。</x:v>
      </x:c>
      <x:c r="F22" s="51" t="str">
        <x:v>间接</x:v>
      </x:c>
      <x:c r="G22" s="51" t="str">
        <x:v>只影响船舶状态</x:v>
      </x:c>
      <x:c r="H22" s="51" t="str">
        <x:v>计量对象</x:v>
      </x:c>
      <x:c r="I22" s="51" t="str">
        <x:v>船舶</x:v>
      </x:c>
      <x:c r="J22" s="51" t="str">
        <x:v>装货/卸货</x:v>
      </x:c>
      <x:c r="K22" s="51" t="str">
        <x:v>船舶资料</x:v>
      </x:c>
      <x:c r="L22" s="51" t="str">
        <x:v>压载记录</x:v>
      </x:c>
      <x:c r="M22" s="51" t="str">
        <x:v>正常不参与GOV/GSV</x:v>
      </x:c>
    </x:row>
    <x:row r="23">
      <x:c r="A23" s="51" t="n">
        <x:v>19</x:v>
      </x:c>
      <x:c r="B23" s="51" t="str">
        <x:v>船舶与舱罐</x:v>
      </x:c>
      <x:c r="C23" s="51" t="str">
        <x:v>燃油舱</x:v>
      </x:c>
      <x:c r="D23" s="51" t="str">
        <x:v>Bunker tank</x:v>
      </x:c>
      <x:c r="E23" s="51" t="str">
        <x:v>储存船舶自身燃料的舱，与商业货物通常分离。</x:v>
      </x:c>
      <x:c r="F23" s="51" t="str">
        <x:v>否/异常</x:v>
      </x:c>
      <x:c r="G23" s="51" t="str">
        <x:v>通常仅核对，不进入货量</x:v>
      </x:c>
      <x:c r="H23" s="51" t="str">
        <x:v>计量对象</x:v>
      </x:c>
      <x:c r="I23" s="51" t="str">
        <x:v>船舶</x:v>
      </x:c>
      <x:c r="J23" s="51" t="str">
        <x:v>装货/卸货</x:v>
      </x:c>
      <x:c r="K23" s="51" t="str">
        <x:v>船舶资料</x:v>
      </x:c>
      <x:c r="L23" s="51" t="str">
        <x:v>燃油报告</x:v>
      </x:c>
      <x:c r="M23" s="51" t="str">
        <x:v>误转或边界不清时需调查</x:v>
      </x:c>
    </x:row>
    <x:row r="24">
      <x:c r="A24" s="51" t="n">
        <x:v>20</x:v>
      </x:c>
      <x:c r="B24" s="51" t="str">
        <x:v>船舶与舱罐</x:v>
      </x:c>
      <x:c r="C24" s="51" t="str">
        <x:v>隔离舱</x:v>
      </x:c>
      <x:c r="D24" s="51" t="str">
        <x:v>Cofferdam</x:v>
      </x:c>
      <x:c r="E24" s="51" t="str">
        <x:v>用于隔离相邻舱室的空舱或狭小空间。</x:v>
      </x:c>
      <x:c r="F24" s="51" t="str">
        <x:v>异常</x:v>
      </x:c>
      <x:c r="G24" s="51" t="str">
        <x:v>发现货物时需测量</x:v>
      </x:c>
      <x:c r="H24" s="51" t="str">
        <x:v>非指定空间</x:v>
      </x:c>
      <x:c r="I24" s="51" t="str">
        <x:v>船舶</x:v>
      </x:c>
      <x:c r="J24" s="51" t="str">
        <x:v>装货/卸货</x:v>
      </x:c>
      <x:c r="K24" s="51" t="str">
        <x:v>检查</x:v>
      </x:c>
      <x:c r="L24" s="51" t="str">
        <x:v>异常记录</x:v>
      </x:c>
      <x:c r="M24" s="51" t="str">
        <x:v>正常不应存在货物</x:v>
      </x:c>
    </x:row>
    <x:row r="25">
      <x:c r="A25" s="51" t="n">
        <x:v>21</x:v>
      </x:c>
      <x:c r="B25" s="51" t="str">
        <x:v>船舶与舱罐</x:v>
      </x:c>
      <x:c r="C25" s="51" t="str">
        <x:v>空舱/空隙空间</x:v>
      </x:c>
      <x:c r="D25" s="51" t="str">
        <x:v>Void space</x:v>
      </x:c>
      <x:c r="E25" s="51" t="str">
        <x:v>不用于正常装货的船体内部空间。</x:v>
      </x:c>
      <x:c r="F25" s="51" t="str">
        <x:v>异常</x:v>
      </x:c>
      <x:c r="G25" s="51" t="str">
        <x:v>发现货物时纳入调查</x:v>
      </x:c>
      <x:c r="H25" s="51" t="str">
        <x:v>非指定空间</x:v>
      </x:c>
      <x:c r="I25" s="51" t="str">
        <x:v>船舶</x:v>
      </x:c>
      <x:c r="J25" s="51" t="str">
        <x:v>装货/卸货</x:v>
      </x:c>
      <x:c r="K25" s="51" t="str">
        <x:v>检查</x:v>
      </x:c>
      <x:c r="L25" s="51" t="str">
        <x:v>异常记录</x:v>
      </x:c>
      <x:c r="M25" s="51" t="str">
        <x:v>可能代表泄漏或误操作</x:v>
      </x:c>
    </x:row>
    <x:row r="26">
      <x:c r="A26" s="51" t="n">
        <x:v>22</x:v>
      </x:c>
      <x:c r="B26" s="51" t="str">
        <x:v>船舶与舱罐</x:v>
      </x:c>
      <x:c r="C26" s="51" t="str">
        <x:v>货物管线</x:v>
      </x:c>
      <x:c r="D26" s="51" t="str">
        <x:v>Cargo line</x:v>
      </x:c>
      <x:c r="E26" s="51" t="str">
        <x:v>连接货舱、货泵、歧管和岸方设施的货物流通管线。</x:v>
      </x:c>
      <x:c r="F26" s="51" t="str">
        <x:v>条件</x:v>
      </x:c>
      <x:c r="G26" s="51" t="str">
        <x:v>前后充满状态不同会产生数量差</x:v>
      </x:c>
      <x:c r="H26" s="51" t="str">
        <x:v>计量对象</x:v>
      </x:c>
      <x:c r="I26" s="51" t="str">
        <x:v>船舶/岸方</x:v>
      </x:c>
      <x:c r="J26" s="51" t="str">
        <x:v>装货/卸货/船对船/罐对罐</x:v>
      </x:c>
      <x:c r="K26" s="51" t="str">
        <x:v>管线资料+现场验证</x:v>
      </x:c>
      <x:c r="L26" s="51" t="str">
        <x:v>管线报告</x:v>
      </x:c>
      <x:c r="M26" s="51" t="str">
        <x:v>管线量不能静默混入舱罐库存</x:v>
      </x:c>
    </x:row>
    <x:row r="27">
      <x:c r="A27" s="51" t="n">
        <x:v>23</x:v>
      </x:c>
      <x:c r="B27" s="51" t="str">
        <x:v>船舶与舱罐</x:v>
      </x:c>
      <x:c r="C27" s="51" t="str">
        <x:v>海底阀</x:v>
      </x:c>
      <x:c r="D27" s="51" t="str">
        <x:v>Sea valve</x:v>
      </x:c>
      <x:c r="E27" s="51" t="str">
        <x:v>连接船体外海水系统的阀门，计量期间通常应确认关闭和封识。</x:v>
      </x:c>
      <x:c r="F27" s="51" t="str">
        <x:v>异常</x:v>
      </x:c>
      <x:c r="G27" s="51" t="str">
        <x:v>防止进水或不明排放</x:v>
      </x:c>
      <x:c r="H27" s="51" t="str">
        <x:v>控制点</x:v>
      </x:c>
      <x:c r="I27" s="51" t="str">
        <x:v>船舶</x:v>
      </x:c>
      <x:c r="J27" s="51" t="str">
        <x:v>装货/卸货</x:v>
      </x:c>
      <x:c r="K27" s="51" t="str">
        <x:v>现场检查</x:v>
      </x:c>
      <x:c r="L27" s="51" t="str">
        <x:v>检查清单</x:v>
      </x:c>
      <x:c r="M27" s="51" t="str">
        <x:v>封识异常可能导致数量或质量风险</x:v>
      </x:c>
    </x:row>
    <x:row r="28">
      <x:c r="A28" s="51" t="n">
        <x:v>24</x:v>
      </x:c>
      <x:c r="B28" s="51" t="str">
        <x:v>原始测量</x:v>
      </x:c>
      <x:c r="C28" s="51" t="str">
        <x:v>空距</x:v>
      </x:c>
      <x:c r="D28" s="51" t="str">
        <x:v>Ullage / Outage</x:v>
      </x:c>
      <x:c r="E28" s="51" t="str">
        <x:v>从货物液面到舱罐参考点的垂直距离。</x:v>
      </x:c>
      <x:c r="F28" s="51" t="str">
        <x:v>直接</x:v>
      </x:c>
      <x:c r="G28" s="51" t="str">
        <x:v>换算液位并查舱容表</x:v>
      </x:c>
      <x:c r="H28" s="51" t="str">
        <x:v>人工测量</x:v>
      </x:c>
      <x:c r="I28" s="51" t="str">
        <x:v>船舱/岸罐</x:v>
      </x:c>
      <x:c r="J28" s="51" t="str">
        <x:v>全部</x:v>
      </x:c>
      <x:c r="K28" s="51" t="str">
        <x:v>检尺/UTI/ATG</x:v>
      </x:c>
      <x:c r="L28" s="51" t="str">
        <x:v>空距报告</x:v>
      </x:c>
      <x:c r="M28" s="51" t="str">
        <x:v>必须记录单位、参考点和测量方法</x:v>
      </x:c>
    </x:row>
    <x:row r="29">
      <x:c r="A29" s="51" t="n">
        <x:v>25</x:v>
      </x:c>
      <x:c r="B29" s="51" t="str">
        <x:v>原始测量</x:v>
      </x:c>
      <x:c r="C29" s="51" t="str">
        <x:v>实高/液深</x:v>
      </x:c>
      <x:c r="D29" s="51" t="str">
        <x:v>Innage / Sounding</x:v>
      </x:c>
      <x:c r="E29" s="51" t="str">
        <x:v>从舱底基准板或基准点到液面的液体深度。</x:v>
      </x:c>
      <x:c r="F29" s="51" t="str">
        <x:v>直接</x:v>
      </x:c>
      <x:c r="G29" s="51" t="str">
        <x:v>查舱容表得到体积</x:v>
      </x:c>
      <x:c r="H29" s="51" t="str">
        <x:v>人工测量</x:v>
      </x:c>
      <x:c r="I29" s="51" t="str">
        <x:v>船舱/岸罐</x:v>
      </x:c>
      <x:c r="J29" s="51" t="str">
        <x:v>全部</x:v>
      </x:c>
      <x:c r="K29" s="51" t="str">
        <x:v>检尺/UTI/ATG</x:v>
      </x:c>
      <x:c r="L29" s="51" t="str">
        <x:v>实高报告</x:v>
      </x:c>
      <x:c r="M29" s="51" t="str">
        <x:v>空距和实高不可直接混用</x:v>
      </x:c>
    </x:row>
    <x:row r="30">
      <x:c r="A30" s="51" t="n">
        <x:v>26</x:v>
      </x:c>
      <x:c r="B30" s="51" t="str">
        <x:v>原始测量</x:v>
      </x:c>
      <x:c r="C30" s="51" t="str">
        <x:v>参考高度</x:v>
      </x:c>
      <x:c r="D30" s="51" t="str">
        <x:v>Reference height</x:v>
      </x:c>
      <x:c r="E30" s="51" t="str">
        <x:v>舱底基准点到既定参考点的标称距离。</x:v>
      </x:c>
      <x:c r="F30" s="51" t="str">
        <x:v>直接</x:v>
      </x:c>
      <x:c r="G30" s="51" t="str">
        <x:v>空距与实高换算依据</x:v>
      </x:c>
      <x:c r="H30" s="51" t="str">
        <x:v>舱罐资料</x:v>
      </x:c>
      <x:c r="I30" s="51" t="str">
        <x:v>船舱/岸罐</x:v>
      </x:c>
      <x:c r="J30" s="51" t="str">
        <x:v>全部</x:v>
      </x:c>
      <x:c r="K30" s="51" t="str">
        <x:v>舱罐表</x:v>
      </x:c>
      <x:c r="L30" s="51" t="str">
        <x:v>舱罐资料</x:v>
      </x:c>
      <x:c r="M30" s="51" t="str">
        <x:v>应核对观测参考高度</x:v>
      </x:c>
    </x:row>
    <x:row r="31">
      <x:c r="A31" s="51" t="n">
        <x:v>27</x:v>
      </x:c>
      <x:c r="B31" s="51" t="str">
        <x:v>原始测量</x:v>
      </x:c>
      <x:c r="C31" s="51" t="str">
        <x:v>观测参考高度</x:v>
      </x:c>
      <x:c r="D31" s="51" t="str">
        <x:v>Observed reference height</x:v>
      </x:c>
      <x:c r="E31" s="51" t="str">
        <x:v>现场实际测得的舱底基准点到参考点距离。</x:v>
      </x:c>
      <x:c r="F31" s="51" t="str">
        <x:v>条件</x:v>
      </x:c>
      <x:c r="G31" s="51" t="str">
        <x:v>验证参考系统是否异常</x:v>
      </x:c>
      <x:c r="H31" s="51" t="str">
        <x:v>人工测量</x:v>
      </x:c>
      <x:c r="I31" s="51" t="str">
        <x:v>船舱/岸罐</x:v>
      </x:c>
      <x:c r="J31" s="51" t="str">
        <x:v>全部</x:v>
      </x:c>
      <x:c r="K31" s="51" t="str">
        <x:v>现场测量</x:v>
      </x:c>
      <x:c r="L31" s="51" t="str">
        <x:v>原始记录</x:v>
      </x:c>
      <x:c r="M31" s="51" t="str">
        <x:v>与表载参高差异应调查</x:v>
      </x:c>
    </x:row>
    <x:row r="32">
      <x:c r="A32" s="51" t="n">
        <x:v>28</x:v>
      </x:c>
      <x:c r="B32" s="51" t="str">
        <x:v>原始测量</x:v>
      </x:c>
      <x:c r="C32" s="51" t="str">
        <x:v>参考点</x:v>
      </x:c>
      <x:c r="D32" s="51" t="str">
        <x:v>Reference point</x:v>
      </x:c>
      <x:c r="E32" s="51" t="str">
        <x:v>进行空距、实高和参考高度测量的固定位置。</x:v>
      </x:c>
      <x:c r="F32" s="51" t="str">
        <x:v>直接</x:v>
      </x:c>
      <x:c r="G32" s="51" t="str">
        <x:v>确定测量几何基准</x:v>
      </x:c>
      <x:c r="H32" s="51" t="str">
        <x:v>舱罐资料</x:v>
      </x:c>
      <x:c r="I32" s="51" t="str">
        <x:v>船舱/岸罐</x:v>
      </x:c>
      <x:c r="J32" s="51" t="str">
        <x:v>全部</x:v>
      </x:c>
      <x:c r="K32" s="51" t="str">
        <x:v>舱罐表</x:v>
      </x:c>
      <x:c r="L32" s="51" t="str">
        <x:v>原始记录</x:v>
      </x:c>
      <x:c r="M32" s="51" t="str">
        <x:v>测量点不一致会造成系统性误差</x:v>
      </x:c>
    </x:row>
    <x:row r="33">
      <x:c r="A33" s="51" t="n">
        <x:v>29</x:v>
      </x:c>
      <x:c r="B33" s="51" t="str">
        <x:v>原始测量</x:v>
      </x:c>
      <x:c r="C33" s="51" t="str">
        <x:v>油水界面测量</x:v>
      </x:c>
      <x:c r="D33" s="51" t="str">
        <x:v>Water cut measurement</x:v>
      </x:c>
      <x:c r="E33" s="51" t="str">
        <x:v>确定油层和游离水层分界位置的测量。</x:v>
      </x:c>
      <x:c r="F33" s="51" t="str">
        <x:v>直接</x:v>
      </x:c>
      <x:c r="G33" s="51" t="str">
        <x:v>计算FW体积</x:v>
      </x:c>
      <x:c r="H33" s="51" t="str">
        <x:v>人工测量</x:v>
      </x:c>
      <x:c r="I33" s="51" t="str">
        <x:v>船舱/岸罐/污油舱</x:v>
      </x:c>
      <x:c r="J33" s="51" t="str">
        <x:v>全部</x:v>
      </x:c>
      <x:c r="K33" s="51" t="str">
        <x:v>检水膏/UTI</x:v>
      </x:c>
      <x:c r="L33" s="51" t="str">
        <x:v>游离水报告</x:v>
      </x:c>
      <x:c r="M33" s="51" t="str">
        <x:v>还应记录乳化层和检测装置</x:v>
      </x:c>
    </x:row>
    <x:row r="34">
      <x:c r="A34" s="51" t="n">
        <x:v>30</x:v>
      </x:c>
      <x:c r="B34" s="51" t="str">
        <x:v>原始测量</x:v>
      </x:c>
      <x:c r="C34" s="51" t="str">
        <x:v>液体温度</x:v>
      </x:c>
      <x:c r="D34" s="51" t="str">
        <x:v>Liquid temperature / TL</x:v>
      </x:c>
      <x:c r="E34" s="51" t="str">
        <x:v>计量时货物的代表性平均温度。</x:v>
      </x:c>
      <x:c r="F34" s="51" t="str">
        <x:v>直接</x:v>
      </x:c>
      <x:c r="G34" s="51" t="str">
        <x:v>计算VCF和当前密度</x:v>
      </x:c>
      <x:c r="H34" s="51" t="str">
        <x:v>人工/设备输入</x:v>
      </x:c>
      <x:c r="I34" s="51" t="str">
        <x:v>船舱/岸罐/管线</x:v>
      </x:c>
      <x:c r="J34" s="51" t="str">
        <x:v>全部</x:v>
      </x:c>
      <x:c r="K34" s="51" t="str">
        <x:v>温度计/PET/在线探头</x:v>
      </x:c>
      <x:c r="L34" s="51" t="str">
        <x:v>温度记录</x:v>
      </x:c>
      <x:c r="M34" s="51" t="str">
        <x:v>加热货物应多层测温并避开加热元件</x:v>
      </x:c>
    </x:row>
    <x:row r="35">
      <x:c r="A35" s="51" t="n">
        <x:v>31</x:v>
      </x:c>
      <x:c r="B35" s="51" t="str">
        <x:v>原始测量</x:v>
      </x:c>
      <x:c r="C35" s="51" t="str">
        <x:v>环境温度</x:v>
      </x:c>
      <x:c r="D35" s="51" t="str">
        <x:v>Ambient temperature / Ta</x:v>
      </x:c>
      <x:c r="E35" s="51" t="str">
        <x:v>计量现场周围空气温度。</x:v>
      </x:c>
      <x:c r="F35" s="51" t="str">
        <x:v>条件</x:v>
      </x:c>
      <x:c r="G35" s="51" t="str">
        <x:v>罐壁、检尺等温度修正输入</x:v>
      </x:c>
      <x:c r="H35" s="51" t="str">
        <x:v>人工/设备输入</x:v>
      </x:c>
      <x:c r="I35" s="51" t="str">
        <x:v>船舶/岸罐</x:v>
      </x:c>
      <x:c r="J35" s="51" t="str">
        <x:v>全部</x:v>
      </x:c>
      <x:c r="K35" s="51" t="str">
        <x:v>现场记录</x:v>
      </x:c>
      <x:c r="L35" s="51" t="str">
        <x:v>影响参数</x:v>
      </x:c>
      <x:c r="M35" s="51" t="str">
        <x:v>不等于液体温度</x:v>
      </x:c>
    </x:row>
    <x:row r="36">
      <x:c r="A36" s="51" t="n">
        <x:v>32</x:v>
      </x:c>
      <x:c r="B36" s="51" t="str">
        <x:v>原始测量</x:v>
      </x:c>
      <x:c r="C36" s="51" t="str">
        <x:v>艏吃水</x:v>
      </x:c>
      <x:c r="D36" s="51" t="str">
        <x:v>Forward draft</x:v>
      </x:c>
      <x:c r="E36" s="51" t="str">
        <x:v>船艏处从水面到船舶基准位置的吃水深度。</x:v>
      </x:c>
      <x:c r="F36" s="51" t="str">
        <x:v>间接</x:v>
      </x:c>
      <x:c r="G36" s="51" t="str">
        <x:v>计算纵倾</x:v>
      </x:c>
      <x:c r="H36" s="51" t="str">
        <x:v>人工测量</x:v>
      </x:c>
      <x:c r="I36" s="51" t="str">
        <x:v>船舶</x:v>
      </x:c>
      <x:c r="J36" s="51" t="str">
        <x:v>装货/卸货/船对船</x:v>
      </x:c>
      <x:c r="K36" s="51" t="str">
        <x:v>吃水标志</x:v>
      </x:c>
      <x:c r="L36" s="51" t="str">
        <x:v>船舶报告</x:v>
      </x:c>
      <x:c r="M36" s="51" t="str">
        <x:v>应与艉吃水同一时点读取</x:v>
      </x:c>
    </x:row>
    <x:row r="37">
      <x:c r="A37" s="51" t="n">
        <x:v>33</x:v>
      </x:c>
      <x:c r="B37" s="51" t="str">
        <x:v>原始测量</x:v>
      </x:c>
      <x:c r="C37" s="51" t="str">
        <x:v>艉吃水</x:v>
      </x:c>
      <x:c r="D37" s="51" t="str">
        <x:v>Aft draft</x:v>
      </x:c>
      <x:c r="E37" s="51" t="str">
        <x:v>船艉处的吃水深度。</x:v>
      </x:c>
      <x:c r="F37" s="51" t="str">
        <x:v>间接</x:v>
      </x:c>
      <x:c r="G37" s="51" t="str">
        <x:v>计算纵倾</x:v>
      </x:c>
      <x:c r="H37" s="51" t="str">
        <x:v>人工测量</x:v>
      </x:c>
      <x:c r="I37" s="51" t="str">
        <x:v>船舶</x:v>
      </x:c>
      <x:c r="J37" s="51" t="str">
        <x:v>装货/卸货/船对船</x:v>
      </x:c>
      <x:c r="K37" s="51" t="str">
        <x:v>吃水标志</x:v>
      </x:c>
      <x:c r="L37" s="51" t="str">
        <x:v>船舶报告</x:v>
      </x:c>
      <x:c r="M37" s="51" t="str">
        <x:v>应记录单位和读取位置</x:v>
      </x:c>
    </x:row>
    <x:row r="38">
      <x:c r="A38" s="51" t="n">
        <x:v>34</x:v>
      </x:c>
      <x:c r="B38" s="51" t="str">
        <x:v>原始测量</x:v>
      </x:c>
      <x:c r="C38" s="51" t="str">
        <x:v>纵倾</x:v>
      </x:c>
      <x:c r="D38" s="51" t="str">
        <x:v>Trim</x:v>
      </x:c>
      <x:c r="E38" s="51" t="str">
        <x:v>船舶艏艉方向的倾斜，通常由艏艉吃水差表示。</x:v>
      </x:c>
      <x:c r="F38" s="51" t="str">
        <x:v>条件</x:v>
      </x:c>
      <x:c r="G38" s="51" t="str">
        <x:v>修正液位或体积；少量时触发楔形计算</x:v>
      </x:c>
      <x:c r="H38" s="51" t="str">
        <x:v>人工/系统</x:v>
      </x:c>
      <x:c r="I38" s="51" t="str">
        <x:v>船舶</x:v>
      </x:c>
      <x:c r="J38" s="51" t="str">
        <x:v>装货/卸货/船对船</x:v>
      </x:c>
      <x:c r="K38" s="51" t="str">
        <x:v>吃水数据</x:v>
      </x:c>
      <x:c r="L38" s="51" t="str">
        <x:v>空距/OBQ/ROB报告</x:v>
      </x:c>
      <x:c r="M38" s="51" t="str">
        <x:v>正负方向必须统一</x:v>
      </x:c>
    </x:row>
    <x:row r="39">
      <x:c r="A39" s="51" t="n">
        <x:v>35</x:v>
      </x:c>
      <x:c r="B39" s="51" t="str">
        <x:v>原始测量</x:v>
      </x:c>
      <x:c r="C39" s="51" t="str">
        <x:v>横倾</x:v>
      </x:c>
      <x:c r="D39" s="51" t="str">
        <x:v>List</x:v>
      </x:c>
      <x:c r="E39" s="51" t="str">
        <x:v>船舶向左舷或右舷偏离垂直方向的倾斜。</x:v>
      </x:c>
      <x:c r="F39" s="51" t="str">
        <x:v>条件</x:v>
      </x:c>
      <x:c r="G39" s="51" t="str">
        <x:v>修正液位或体积</x:v>
      </x:c>
      <x:c r="H39" s="51" t="str">
        <x:v>人工测量</x:v>
      </x:c>
      <x:c r="I39" s="51" t="str">
        <x:v>船舶</x:v>
      </x:c>
      <x:c r="J39" s="51" t="str">
        <x:v>装货/卸货/船对船</x:v>
      </x:c>
      <x:c r="K39" s="51" t="str">
        <x:v>倾斜仪/船方</x:v>
      </x:c>
      <x:c r="L39" s="51" t="str">
        <x:v>空距报告</x:v>
      </x:c>
      <x:c r="M39" s="51" t="str">
        <x:v>仅在适用条件下使用横倾修正表</x:v>
      </x:c>
    </x:row>
    <x:row r="40">
      <x:c r="A40" s="51" t="n">
        <x:v>36</x:v>
      </x:c>
      <x:c r="B40" s="51" t="str">
        <x:v>原始测量</x:v>
      </x:c>
      <x:c r="C40" s="51" t="str">
        <x:v>UTI</x:v>
      </x:c>
      <x:c r="D40" s="51" t="str">
        <x:v>Ullage Temperature Interface detector</x:v>
      </x:c>
      <x:c r="E40" s="51" t="str">
        <x:v>可测空距、温度和油水界面的便携式电子测量设备。</x:v>
      </x:c>
      <x:c r="F40" s="51" t="str">
        <x:v>直接/设备</x:v>
      </x:c>
      <x:c r="G40" s="51" t="str">
        <x:v>提供液位、温度、界面数据</x:v>
      </x:c>
      <x:c r="H40" s="51" t="str">
        <x:v>测量设备</x:v>
      </x:c>
      <x:c r="I40" s="51" t="str">
        <x:v>船舱</x:v>
      </x:c>
      <x:c r="J40" s="51" t="str">
        <x:v>装货/卸货/船对船</x:v>
      </x:c>
      <x:c r="K40" s="51" t="str">
        <x:v>设备读数</x:v>
      </x:c>
      <x:c r="L40" s="51" t="str">
        <x:v>原始记录</x:v>
      </x:c>
      <x:c r="M40" s="51" t="str">
        <x:v>记录设备编号和校准状态</x:v>
      </x:c>
    </x:row>
    <x:row r="41">
      <x:c r="A41" s="51" t="n">
        <x:v>37</x:v>
      </x:c>
      <x:c r="B41" s="51" t="str">
        <x:v>原始测量</x:v>
      </x:c>
      <x:c r="C41" s="51" t="str">
        <x:v>自动液位计</x:v>
      </x:c>
      <x:c r="D41" s="51" t="str">
        <x:v>Automatic Tank Gauge / ATG</x:v>
      </x:c>
      <x:c r="E41" s="51" t="str">
        <x:v>岸罐或船舱自动测量液位的装置。</x:v>
      </x:c>
      <x:c r="F41" s="51" t="str">
        <x:v>直接/设备</x:v>
      </x:c>
      <x:c r="G41" s="51" t="str">
        <x:v>提供自动液位</x:v>
      </x:c>
      <x:c r="H41" s="51" t="str">
        <x:v>测量设备</x:v>
      </x:c>
      <x:c r="I41" s="51" t="str">
        <x:v>岸罐/船舱</x:v>
      </x:c>
      <x:c r="J41" s="51" t="str">
        <x:v>全部</x:v>
      </x:c>
      <x:c r="K41" s="51" t="str">
        <x:v>设备系统</x:v>
      </x:c>
      <x:c r="L41" s="51" t="str">
        <x:v>原始记录</x:v>
      </x:c>
      <x:c r="M41" s="51" t="str">
        <x:v>应与人工测量或校准记录核对</x:v>
      </x:c>
    </x:row>
    <x:row r="42">
      <x:c r="A42" s="51" t="n">
        <x:v>38</x:v>
      </x:c>
      <x:c r="B42" s="51" t="str">
        <x:v>原始测量</x:v>
      </x:c>
      <x:c r="C42" s="51" t="str">
        <x:v>便携式电子温度计</x:v>
      </x:c>
      <x:c r="D42" s="51" t="str">
        <x:v>Portable Electronic Thermometer / PET</x:v>
      </x:c>
      <x:c r="E42" s="51" t="str">
        <x:v>用于舱罐多点温度测量的便携式温度设备。</x:v>
      </x:c>
      <x:c r="F42" s="51" t="str">
        <x:v>直接/设备</x:v>
      </x:c>
      <x:c r="G42" s="51" t="str">
        <x:v>提供代表温度</x:v>
      </x:c>
      <x:c r="H42" s="51" t="str">
        <x:v>测量设备</x:v>
      </x:c>
      <x:c r="I42" s="51" t="str">
        <x:v>船舱/岸罐</x:v>
      </x:c>
      <x:c r="J42" s="51" t="str">
        <x:v>全部</x:v>
      </x:c>
      <x:c r="K42" s="51" t="str">
        <x:v>设备读数</x:v>
      </x:c>
      <x:c r="L42" s="51" t="str">
        <x:v>温度记录</x:v>
      </x:c>
      <x:c r="M42" s="51" t="str">
        <x:v>量程和精度需适配货物</x:v>
      </x:c>
    </x:row>
    <x:row r="43">
      <x:c r="A43" s="51" t="n">
        <x:v>39</x:v>
      </x:c>
      <x:c r="B43" s="51" t="str">
        <x:v>液位与容积修正</x:v>
      </x:c>
      <x:c r="C43" s="51" t="str">
        <x:v>检尺修正</x:v>
      </x:c>
      <x:c r="D43" s="51" t="str">
        <x:v>Gauge correction</x:v>
      </x:c>
      <x:c r="E43" s="51" t="str">
        <x:v>对钢卷尺、UTI、浮子等测量系统施加的仪器或方法修正。</x:v>
      </x:c>
      <x:c r="F43" s="51" t="str">
        <x:v>条件</x:v>
      </x:c>
      <x:c r="G43" s="51" t="str">
        <x:v>修正原始液位</x:v>
      </x:c>
      <x:c r="H43" s="51" t="str">
        <x:v>计算输入</x:v>
      </x:c>
      <x:c r="I43" s="51" t="str">
        <x:v>船舱/岸罐</x:v>
      </x:c>
      <x:c r="J43" s="51" t="str">
        <x:v>全部</x:v>
      </x:c>
      <x:c r="K43" s="51" t="str">
        <x:v>设备证书/规则</x:v>
      </x:c>
      <x:c r="L43" s="51" t="str">
        <x:v>原始记录</x:v>
      </x:c>
      <x:c r="M43" s="51" t="str">
        <x:v>修正值须与液位使用同一长度单位</x:v>
      </x:c>
    </x:row>
    <x:row r="44">
      <x:c r="A44" s="51" t="n">
        <x:v>40</x:v>
      </x:c>
      <x:c r="B44" s="51" t="str">
        <x:v>液位与容积修正</x:v>
      </x:c>
      <x:c r="C44" s="51" t="str">
        <x:v>纵倾修正</x:v>
      </x:c>
      <x:c r="D44" s="51" t="str">
        <x:v>Trim correction</x:v>
      </x:c>
      <x:c r="E44" s="51" t="str">
        <x:v>船舶纵倾时对观测液位或体积施加的修正。</x:v>
      </x:c>
      <x:c r="F44" s="51" t="str">
        <x:v>条件</x:v>
      </x:c>
      <x:c r="G44" s="51" t="str">
        <x:v>获得可查表液位/体积</x:v>
      </x:c>
      <x:c r="H44" s="51" t="str">
        <x:v>查表/计算</x:v>
      </x:c>
      <x:c r="I44" s="51" t="str">
        <x:v>船舱</x:v>
      </x:c>
      <x:c r="J44" s="51" t="str">
        <x:v>装货/卸货/船对船</x:v>
      </x:c>
      <x:c r="K44" s="51" t="str">
        <x:v>船舶修正表</x:v>
      </x:c>
      <x:c r="L44" s="51" t="str">
        <x:v>空距报告</x:v>
      </x:c>
      <x:c r="M44" s="51" t="str">
        <x:v>液体接触全部舱壁时用普通修正；否则走楔形</x:v>
      </x:c>
    </x:row>
    <x:row r="45">
      <x:c r="A45" s="51" t="n">
        <x:v>41</x:v>
      </x:c>
      <x:c r="B45" s="51" t="str">
        <x:v>液位与容积修正</x:v>
      </x:c>
      <x:c r="C45" s="51" t="str">
        <x:v>横倾修正</x:v>
      </x:c>
      <x:c r="D45" s="51" t="str">
        <x:v>List correction</x:v>
      </x:c>
      <x:c r="E45" s="51" t="str">
        <x:v>船舶横倾时对观测液位或体积施加的修正。</x:v>
      </x:c>
      <x:c r="F45" s="51" t="str">
        <x:v>条件</x:v>
      </x:c>
      <x:c r="G45" s="51" t="str">
        <x:v>获得可查表液位/体积</x:v>
      </x:c>
      <x:c r="H45" s="51" t="str">
        <x:v>查表/计算</x:v>
      </x:c>
      <x:c r="I45" s="51" t="str">
        <x:v>船舱</x:v>
      </x:c>
      <x:c r="J45" s="51" t="str">
        <x:v>装货/卸货/船对船</x:v>
      </x:c>
      <x:c r="K45" s="51" t="str">
        <x:v>船舶修正表</x:v>
      </x:c>
      <x:c r="L45" s="51" t="str">
        <x:v>空距报告</x:v>
      </x:c>
      <x:c r="M45" s="51" t="str">
        <x:v>需明确左/右舷和正负方向</x:v>
      </x:c>
    </x:row>
    <x:row r="46">
      <x:c r="A46" s="51" t="n">
        <x:v>42</x:v>
      </x:c>
      <x:c r="B46" s="51" t="str">
        <x:v>液位与容积修正</x:v>
      </x:c>
      <x:c r="C46" s="51" t="str">
        <x:v>楔形公式</x:v>
      </x:c>
      <x:c r="D46" s="51" t="str">
        <x:v>Wedge formula</x:v>
      </x:c>
      <x:c r="E46" s="51" t="str">
        <x:v>液体未接触货舱全部舱壁时，用舱尺寸和船舶姿态估算少量液体体积的方法。</x:v>
      </x:c>
      <x:c r="F46" s="51" t="str">
        <x:v>条件</x:v>
      </x:c>
      <x:c r="G46" s="51" t="str">
        <x:v>计算少量货物或FW</x:v>
      </x:c>
      <x:c r="H46" s="51" t="str">
        <x:v>条件计算</x:v>
      </x:c>
      <x:c r="I46" s="51" t="str">
        <x:v>船舱/污油舱</x:v>
      </x:c>
      <x:c r="J46" s="51" t="str">
        <x:v>装货前/卸货后</x:v>
      </x:c>
      <x:c r="K46" s="51" t="str">
        <x:v>船舶资料+测量</x:v>
      </x:c>
      <x:c r="L46" s="51" t="str">
        <x:v>OBQ/ROB/FW报告</x:v>
      </x:c>
      <x:c r="M46" s="51" t="str">
        <x:v>优先使用船舶专用楔形舱容表</x:v>
      </x:c>
    </x:row>
    <x:row r="47">
      <x:c r="A47" s="51" t="n">
        <x:v>43</x:v>
      </x:c>
      <x:c r="B47" s="51" t="str">
        <x:v>液位与容积修正</x:v>
      </x:c>
      <x:c r="C47" s="51" t="str">
        <x:v>楔形舱容表</x:v>
      </x:c>
      <x:c r="D47" s="51" t="str">
        <x:v>Wedge table</x:v>
      </x:c>
      <x:c r="E47" s="51" t="str">
        <x:v>船舶按楔形原理预先计算的小量舱容表。</x:v>
      </x:c>
      <x:c r="F47" s="51" t="str">
        <x:v>条件</x:v>
      </x:c>
      <x:c r="G47" s="51" t="str">
        <x:v>查表获得OBQ/ROB/FW体积</x:v>
      </x:c>
      <x:c r="H47" s="51" t="str">
        <x:v>查表</x:v>
      </x:c>
      <x:c r="I47" s="51" t="str">
        <x:v>船舱/污油舱</x:v>
      </x:c>
      <x:c r="J47" s="51" t="str">
        <x:v>装货前/卸货后</x:v>
      </x:c>
      <x:c r="K47" s="51" t="str">
        <x:v>船舶资料</x:v>
      </x:c>
      <x:c r="L47" s="51" t="str">
        <x:v>OBQ/ROB报告</x:v>
      </x:c>
      <x:c r="M47" s="51" t="str">
        <x:v>确认表格适用的纵倾方向和测量位置</x:v>
      </x:c>
    </x:row>
    <x:row r="48">
      <x:c r="A48" s="51" t="n">
        <x:v>44</x:v>
      </x:c>
      <x:c r="B48" s="51" t="str">
        <x:v>液位与容积修正</x:v>
      </x:c>
      <x:c r="C48" s="51" t="str">
        <x:v>舱壁/罐壁温度修正</x:v>
      </x:c>
      <x:c r="D48" s="51" t="str">
        <x:v>Tank shell correction / CTSh</x:v>
      </x:c>
      <x:c r="E48" s="51" t="str">
        <x:v>考虑舱壁或罐壁材料因温度变化产生的容积变化。</x:v>
      </x:c>
      <x:c r="F48" s="51" t="str">
        <x:v>条件</x:v>
      </x:c>
      <x:c r="G48" s="51" t="str">
        <x:v>修正观测容积</x:v>
      </x:c>
      <x:c r="H48" s="51" t="str">
        <x:v>系统计算</x:v>
      </x:c>
      <x:c r="I48" s="51" t="str">
        <x:v>船舱/岸罐</x:v>
      </x:c>
      <x:c r="J48" s="51" t="str">
        <x:v>全部</x:v>
      </x:c>
      <x:c r="K48" s="51" t="str">
        <x:v>材料系数+温度</x:v>
      </x:c>
      <x:c r="L48" s="51" t="str">
        <x:v>计算明细</x:v>
      </x:c>
      <x:c r="M48" s="51" t="str">
        <x:v>是否适用取决于船型、罐型和标准</x:v>
      </x:c>
    </x:row>
    <x:row r="49">
      <x:c r="A49" s="51" t="n">
        <x:v>45</x:v>
      </x:c>
      <x:c r="B49" s="51" t="str">
        <x:v>液位与容积修正</x:v>
      </x:c>
      <x:c r="C49" s="51" t="str">
        <x:v>浮顶修正体积</x:v>
      </x:c>
      <x:c r="D49" s="51" t="str">
        <x:v>Floating roof adjustment / FRA</x:v>
      </x:c>
      <x:c r="E49" s="51" t="str">
        <x:v>以体积形式表示浮顶排液影响的修正量。</x:v>
      </x:c>
      <x:c r="F49" s="51" t="str">
        <x:v>条件</x:v>
      </x:c>
      <x:c r="G49" s="51" t="str">
        <x:v>从适用岸罐体积中扣除或修正</x:v>
      </x:c>
      <x:c r="H49" s="51" t="str">
        <x:v>查表/计算</x:v>
      </x:c>
      <x:c r="I49" s="51" t="str">
        <x:v>浮顶岸罐</x:v>
      </x:c>
      <x:c r="J49" s="51" t="str">
        <x:v>装货/卸货/罐对罐/盘点</x:v>
      </x:c>
      <x:c r="K49" s="51" t="str">
        <x:v>岸罐资料</x:v>
      </x:c>
      <x:c r="L49" s="51" t="str">
        <x:v>岸罐报告</x:v>
      </x:c>
      <x:c r="M49" s="51" t="str">
        <x:v>与浮顶重量修正方式二选一</x:v>
      </x:c>
    </x:row>
    <x:row r="50">
      <x:c r="A50" s="51" t="n">
        <x:v>46</x:v>
      </x:c>
      <x:c r="B50" s="51" t="str">
        <x:v>液位与容积修正</x:v>
      </x:c>
      <x:c r="C50" s="51" t="str">
        <x:v>浮顶重量</x:v>
      </x:c>
      <x:c r="D50" s="51" t="str">
        <x:v>Floating roof correction weight / FRC</x:v>
      </x:c>
      <x:c r="E50" s="51" t="str">
        <x:v>以重量形式提供的浮顶排液修正参数，需结合货物密度换算为等效体积。</x:v>
      </x:c>
      <x:c r="F50" s="51" t="str">
        <x:v>条件</x:v>
      </x:c>
      <x:c r="G50" s="51" t="str">
        <x:v>换算FRA或修正重量</x:v>
      </x:c>
      <x:c r="H50" s="51" t="str">
        <x:v>输入/计算</x:v>
      </x:c>
      <x:c r="I50" s="51" t="str">
        <x:v>浮顶岸罐</x:v>
      </x:c>
      <x:c r="J50" s="51" t="str">
        <x:v>装货/卸货/罐对罐/盘点</x:v>
      </x:c>
      <x:c r="K50" s="51" t="str">
        <x:v>岸罐资料</x:v>
      </x:c>
      <x:c r="L50" s="51" t="str">
        <x:v>岸罐报告</x:v>
      </x:c>
      <x:c r="M50" s="51" t="str">
        <x:v>不得与FRA重复扣除</x:v>
      </x:c>
    </x:row>
    <x:row r="51">
      <x:c r="A51" s="51" t="n">
        <x:v>47</x:v>
      </x:c>
      <x:c r="B51" s="51" t="str">
        <x:v>液位与容积修正</x:v>
      </x:c>
      <x:c r="C51" s="51" t="str">
        <x:v>静压力修正</x:v>
      </x:c>
      <x:c r="D51" s="51" t="str">
        <x:v>Hydrostatic head correction</x:v>
      </x:c>
      <x:c r="E51" s="51" t="str">
        <x:v>考虑液柱静压力导致罐体变形或容量变化的修正。</x:v>
      </x:c>
      <x:c r="F51" s="51" t="str">
        <x:v>条件</x:v>
      </x:c>
      <x:c r="G51" s="51" t="str">
        <x:v>修正岸罐观测容积</x:v>
      </x:c>
      <x:c r="H51" s="51" t="str">
        <x:v>查表/计算</x:v>
      </x:c>
      <x:c r="I51" s="51" t="str">
        <x:v>岸罐</x:v>
      </x:c>
      <x:c r="J51" s="51" t="str">
        <x:v>装货/卸货/罐对罐/盘点</x:v>
      </x:c>
      <x:c r="K51" s="51" t="str">
        <x:v>罐表+密度</x:v>
      </x:c>
      <x:c r="L51" s="51" t="str">
        <x:v>岸罐报告</x:v>
      </x:c>
      <x:c r="M51" s="51" t="str">
        <x:v>必须使用与罐表配套的修正规则</x:v>
      </x:c>
    </x:row>
    <x:row r="52">
      <x:c r="A52" s="51" t="n">
        <x:v>48</x:v>
      </x:c>
      <x:c r="B52" s="51" t="str">
        <x:v>体积与系数</x:v>
      </x:c>
      <x:c r="C52" s="51" t="str">
        <x:v>总观测体积</x:v>
      </x:c>
      <x:c r="D52" s="51" t="str">
        <x:v>Total Observed Volume / TOV</x:v>
      </x:c>
      <x:c r="E52" s="51" t="str">
        <x:v>观测温度和压力下舱罐内全部液体的总体积，通常包含游离水。</x:v>
      </x:c>
      <x:c r="F52" s="51" t="str">
        <x:v>直接</x:v>
      </x:c>
      <x:c r="G52" s="51" t="str">
        <x:v>毛观测体积计算起点</x:v>
      </x:c>
      <x:c r="H52" s="51" t="str">
        <x:v>查表结果</x:v>
      </x:c>
      <x:c r="I52" s="51" t="str">
        <x:v>船舱/岸罐/污油舱</x:v>
      </x:c>
      <x:c r="J52" s="51" t="str">
        <x:v>全部</x:v>
      </x:c>
      <x:c r="K52" s="51" t="str">
        <x:v>修正液位查表</x:v>
      </x:c>
      <x:c r="L52" s="51" t="str">
        <x:v>空距/岸罐报告</x:v>
      </x:c>
      <x:c r="M52" s="51" t="str">
        <x:v>不能直接等同货物体积</x:v>
      </x:c>
    </x:row>
    <x:row r="53">
      <x:c r="A53" s="51" t="n">
        <x:v>49</x:v>
      </x:c>
      <x:c r="B53" s="51" t="str">
        <x:v>体积与系数</x:v>
      </x:c>
      <x:c r="C53" s="51" t="str">
        <x:v>游离水</x:v>
      </x:c>
      <x:c r="D53" s="51" t="str">
        <x:v>Free Water / FW</x:v>
      </x:c>
      <x:c r="E53" s="51" t="str">
        <x:v>与油品分层、不悬浮在油中的水。</x:v>
      </x:c>
      <x:c r="F53" s="51" t="str">
        <x:v>直接</x:v>
      </x:c>
      <x:c r="G53" s="51" t="str">
        <x:v>从TOV中扣除</x:v>
      </x:c>
      <x:c r="H53" s="51" t="str">
        <x:v>人工测量+查表</x:v>
      </x:c>
      <x:c r="I53" s="51" t="str">
        <x:v>船舱/岸罐/污油舱</x:v>
      </x:c>
      <x:c r="J53" s="51" t="str">
        <x:v>全部</x:v>
      </x:c>
      <x:c r="K53" s="51" t="str">
        <x:v>油水界面</x:v>
      </x:c>
      <x:c r="L53" s="51" t="str">
        <x:v>游离水报告</x:v>
      </x:c>
      <x:c r="M53" s="51" t="str">
        <x:v>与S&amp;W和压载水概念不同</x:v>
      </x:c>
    </x:row>
    <x:row r="54">
      <x:c r="A54" s="51" t="n">
        <x:v>50</x:v>
      </x:c>
      <x:c r="B54" s="51" t="str">
        <x:v>体积与系数</x:v>
      </x:c>
      <x:c r="C54" s="51" t="str">
        <x:v>毛观测体积</x:v>
      </x:c>
      <x:c r="D54" s="51" t="str">
        <x:v>Gross Observed Volume / GOV</x:v>
      </x:c>
      <x:c r="E54" s="51" t="str">
        <x:v>观测温度下石油液体及悬浮S&amp;W的体积，不包含游离水。</x:v>
      </x:c>
      <x:c r="F54" s="51" t="str">
        <x:v>直接</x:v>
      </x:c>
      <x:c r="G54" s="51" t="str">
        <x:v>GOV=TOV-FW，并叠加适用容积修正</x:v>
      </x:c>
      <x:c r="H54" s="51" t="str">
        <x:v>系统计算</x:v>
      </x:c>
      <x:c r="I54" s="51" t="str">
        <x:v>船舱/岸罐</x:v>
      </x:c>
      <x:c r="J54" s="51" t="str">
        <x:v>全部</x:v>
      </x:c>
      <x:c r="K54" s="51" t="str">
        <x:v>TOV+FW+修正</x:v>
      </x:c>
      <x:c r="L54" s="51" t="str">
        <x:v>空距/岸罐报告</x:v>
      </x:c>
      <x:c r="M54" s="51" t="str">
        <x:v>仍是观测温度体积</x:v>
      </x:c>
    </x:row>
    <x:row r="55">
      <x:c r="A55" s="51" t="n">
        <x:v>51</x:v>
      </x:c>
      <x:c r="B55" s="51" t="str">
        <x:v>体积与系数</x:v>
      </x:c>
      <x:c r="C55" s="51" t="str">
        <x:v>体积修正系数</x:v>
      </x:c>
      <x:c r="D55" s="51" t="str">
        <x:v>Volume Correction Factor / VCF</x:v>
      </x:c>
      <x:c r="E55" s="51" t="str">
        <x:v>把观测温度体积换算至标准温度的无量纲系数。</x:v>
      </x:c>
      <x:c r="F55" s="51" t="str">
        <x:v>直接</x:v>
      </x:c>
      <x:c r="G55" s="51" t="str">
        <x:v>GSV=GOV×VCF</x:v>
      </x:c>
      <x:c r="H55" s="51" t="str">
        <x:v>标准算法结果</x:v>
      </x:c>
      <x:c r="I55" s="51" t="str">
        <x:v>货物</x:v>
      </x:c>
      <x:c r="J55" s="51" t="str">
        <x:v>全部</x:v>
      </x:c>
      <x:c r="K55" s="51" t="str">
        <x:v>温度+密度/API度+标准</x:v>
      </x:c>
      <x:c r="L55" s="51" t="str">
        <x:v>计算参数</x:v>
      </x:c>
      <x:c r="M55" s="51" t="str">
        <x:v>标准、版本、货物类别和基准温度必须匹配</x:v>
      </x:c>
    </x:row>
    <x:row r="56">
      <x:c r="A56" s="51" t="n">
        <x:v>52</x:v>
      </x:c>
      <x:c r="B56" s="51" t="str">
        <x:v>体积与系数</x:v>
      </x:c>
      <x:c r="C56" s="51" t="str">
        <x:v>液体温度修正系数</x:v>
      </x:c>
      <x:c r="D56" s="51" t="str">
        <x:v>Correction for liquid temperature / CTL</x:v>
      </x:c>
      <x:c r="E56" s="51" t="str">
        <x:v>仅考虑液体温度影响的体积修正系数，通常与VCF对应。</x:v>
      </x:c>
      <x:c r="F56" s="51" t="str">
        <x:v>直接</x:v>
      </x:c>
      <x:c r="G56" s="51" t="str">
        <x:v>标准体积换算</x:v>
      </x:c>
      <x:c r="H56" s="51" t="str">
        <x:v>标准算法结果</x:v>
      </x:c>
      <x:c r="I56" s="51" t="str">
        <x:v>货物</x:v>
      </x:c>
      <x:c r="J56" s="51" t="str">
        <x:v>全部</x:v>
      </x:c>
      <x:c r="K56" s="51" t="str">
        <x:v>API/ASTM算法</x:v>
      </x:c>
      <x:c r="L56" s="51" t="str">
        <x:v>计算明细</x:v>
      </x:c>
      <x:c r="M56" s="51" t="str">
        <x:v>不要与罐壁温度修正混淆</x:v>
      </x:c>
    </x:row>
    <x:row r="57">
      <x:c r="A57" s="51" t="n">
        <x:v>53</x:v>
      </x:c>
      <x:c r="B57" s="51" t="str">
        <x:v>体积与系数</x:v>
      </x:c>
      <x:c r="C57" s="51" t="str">
        <x:v>压力修正系数</x:v>
      </x:c>
      <x:c r="D57" s="51" t="str">
        <x:v>Correction for pressure / CPL</x:v>
      </x:c>
      <x:c r="E57" s="51" t="str">
        <x:v>考虑液体压力和可压缩性影响的修正系数。</x:v>
      </x:c>
      <x:c r="F57" s="51" t="str">
        <x:v>条件</x:v>
      </x:c>
      <x:c r="G57" s="51" t="str">
        <x:v>CTPL=CTL×CPL</x:v>
      </x:c>
      <x:c r="H57" s="51" t="str">
        <x:v>标准算法结果</x:v>
      </x:c>
      <x:c r="I57" s="51" t="str">
        <x:v>货物/流量计</x:v>
      </x:c>
      <x:c r="J57" s="51" t="str">
        <x:v>动态/压力计量</x:v>
      </x:c>
      <x:c r="K57" s="51" t="str">
        <x:v>压力+可压缩系数</x:v>
      </x:c>
      <x:c r="L57" s="51" t="str">
        <x:v>流量计/计算明细</x:v>
      </x:c>
      <x:c r="M57" s="51" t="str">
        <x:v>常压舱罐业务通常接近1，但不能无依据固定</x:v>
      </x:c>
    </x:row>
    <x:row r="58">
      <x:c r="A58" s="51" t="n">
        <x:v>54</x:v>
      </x:c>
      <x:c r="B58" s="51" t="str">
        <x:v>体积与系数</x:v>
      </x:c>
      <x:c r="C58" s="51" t="str">
        <x:v>温压联合修正</x:v>
      </x:c>
      <x:c r="D58" s="51" t="str">
        <x:v>CTPL</x:v>
      </x:c>
      <x:c r="E58" s="51" t="str">
        <x:v>液体温度修正与压力修正的组合系数。</x:v>
      </x:c>
      <x:c r="F58" s="51" t="str">
        <x:v>直接/条件</x:v>
      </x:c>
      <x:c r="G58" s="51" t="str">
        <x:v>CTPL=CTL×CPL；常压时常等于VCF</x:v>
      </x:c>
      <x:c r="H58" s="51" t="str">
        <x:v>系统计算</x:v>
      </x:c>
      <x:c r="I58" s="51" t="str">
        <x:v>货物</x:v>
      </x:c>
      <x:c r="J58" s="51" t="str">
        <x:v>全部</x:v>
      </x:c>
      <x:c r="K58" s="51" t="str">
        <x:v>CTL+CPL</x:v>
      </x:c>
      <x:c r="L58" s="51" t="str">
        <x:v>计算明细</x:v>
      </x:c>
      <x:c r="M58" s="51" t="str">
        <x:v>旧项目可能用K表示</x:v>
      </x:c>
    </x:row>
    <x:row r="59">
      <x:c r="A59" s="51" t="n">
        <x:v>55</x:v>
      </x:c>
      <x:c r="B59" s="51" t="str">
        <x:v>体积与系数</x:v>
      </x:c>
      <x:c r="C59" s="51" t="str">
        <x:v>体积温度系数</x:v>
      </x:c>
      <x:c r="D59" s="51" t="str">
        <x:v>Temperature Expansion Coefficient / TEC / f</x:v>
      </x:c>
      <x:c r="E59" s="51" t="str">
        <x:v>某些化学品使用的体积热膨胀系数，用于根据温差计算等效VCF。</x:v>
      </x:c>
      <x:c r="F59" s="51" t="str">
        <x:v>方法二选一</x:v>
      </x:c>
      <x:c r="G59" s="51" t="str">
        <x:v>例如VCF=EXP[-f×(TL-TS)]</x:v>
      </x:c>
      <x:c r="H59" s="51" t="str">
        <x:v>货物主数据</x:v>
      </x:c>
      <x:c r="I59" s="51" t="str">
        <x:v>化学品</x:v>
      </x:c>
      <x:c r="J59" s="51" t="str">
        <x:v>全部</x:v>
      </x:c>
      <x:c r="K59" s="51" t="str">
        <x:v>证书/货物主数据</x:v>
      </x:c>
      <x:c r="L59" s="51" t="str">
        <x:v>计算参数</x:v>
      </x:c>
      <x:c r="M59" s="51" t="str">
        <x:v>单位通常为1/°C；须确认客户公式</x:v>
      </x:c>
    </x:row>
    <x:row r="60">
      <x:c r="A60" s="51" t="n">
        <x:v>56</x:v>
      </x:c>
      <x:c r="B60" s="51" t="str">
        <x:v>体积与系数</x:v>
      </x:c>
      <x:c r="C60" s="51" t="str">
        <x:v>密度温度系数</x:v>
      </x:c>
      <x:c r="D60" s="51" t="str">
        <x:v>Density temperature coefficient / Cs / γ</x:v>
      </x:c>
      <x:c r="E60" s="51" t="str">
        <x:v>表示密度随温度变化的速率，可由标准密度推算当前密度。</x:v>
      </x:c>
      <x:c r="F60" s="51" t="str">
        <x:v>方法二选一</x:v>
      </x:c>
      <x:c r="G60" s="51" t="str">
        <x:v>ρt=ρs-γ×(TL-TS)，再按密度比换算</x:v>
      </x:c>
      <x:c r="H60" s="51" t="str">
        <x:v>货物主数据</x:v>
      </x:c>
      <x:c r="I60" s="51" t="str">
        <x:v>化学品</x:v>
      </x:c>
      <x:c r="J60" s="51" t="str">
        <x:v>全部</x:v>
      </x:c>
      <x:c r="K60" s="51" t="str">
        <x:v>证书/货物主数据</x:v>
      </x:c>
      <x:c r="L60" s="51" t="str">
        <x:v>计算参数</x:v>
      </x:c>
      <x:c r="M60" s="51" t="str">
        <x:v>必须明确单位和空气中/真空中密度口径</x:v>
      </x:c>
    </x:row>
    <x:row r="61">
      <x:c r="A61" s="51" t="n">
        <x:v>57</x:v>
      </x:c>
      <x:c r="B61" s="51" t="str">
        <x:v>体积与系数</x:v>
      </x:c>
      <x:c r="C61" s="51" t="str">
        <x:v>毛标准体积</x:v>
      </x:c>
      <x:c r="D61" s="51" t="str">
        <x:v>Gross Standard Volume / GSV</x:v>
      </x:c>
      <x:c r="E61" s="51" t="str">
        <x:v>GOV经适用VCF/CTPL换算到标准温度后的体积，已扣FW但仍含S&amp;W。</x:v>
      </x:c>
      <x:c r="F61" s="51" t="str">
        <x:v>直接</x:v>
      </x:c>
      <x:c r="G61" s="51" t="str">
        <x:v>GSV=GOV×CTPL</x:v>
      </x:c>
      <x:c r="H61" s="51" t="str">
        <x:v>系统输出</x:v>
      </x:c>
      <x:c r="I61" s="51" t="str">
        <x:v>货物</x:v>
      </x:c>
      <x:c r="J61" s="51" t="str">
        <x:v>全部</x:v>
      </x:c>
      <x:c r="K61" s="51" t="str">
        <x:v>GOV+VCF</x:v>
      </x:c>
      <x:c r="L61" s="51" t="str">
        <x:v>数量换算</x:v>
      </x:c>
      <x:c r="M61" s="51" t="str">
        <x:v>毛量基础</x:v>
      </x:c>
    </x:row>
    <x:row r="62">
      <x:c r="A62" s="51" t="n">
        <x:v>58</x:v>
      </x:c>
      <x:c r="B62" s="51" t="str">
        <x:v>体积与系数</x:v>
      </x:c>
      <x:c r="C62" s="51" t="str">
        <x:v>净标准体积</x:v>
      </x:c>
      <x:c r="D62" s="51" t="str">
        <x:v>Net Standard Volume / NSV</x:v>
      </x:c>
      <x:c r="E62" s="51" t="str">
        <x:v>GSV进一步扣除货物中悬浮S&amp;W后的标准体积。</x:v>
      </x:c>
      <x:c r="F62" s="51" t="str">
        <x:v>直接</x:v>
      </x:c>
      <x:c r="G62" s="51" t="str">
        <x:v>NSV=GSV×(1-S&amp;W%)</x:v>
      </x:c>
      <x:c r="H62" s="51" t="str">
        <x:v>系统输出</x:v>
      </x:c>
      <x:c r="I62" s="51" t="str">
        <x:v>货物</x:v>
      </x:c>
      <x:c r="J62" s="51" t="str">
        <x:v>全部</x:v>
      </x:c>
      <x:c r="K62" s="51" t="str">
        <x:v>GSV+S&amp;W</x:v>
      </x:c>
      <x:c r="L62" s="51" t="str">
        <x:v>数量换算</x:v>
      </x:c>
      <x:c r="M62" s="51" t="str">
        <x:v>净量基础</x:v>
      </x:c>
    </x:row>
    <x:row r="63">
      <x:c r="A63" s="51" t="n">
        <x:v>59</x:v>
      </x:c>
      <x:c r="B63" s="51" t="str">
        <x:v>体积与系数</x:v>
      </x:c>
      <x:c r="C63" s="51" t="str">
        <x:v>总计算体积</x:v>
      </x:c>
      <x:c r="D63" s="51" t="str">
        <x:v>Total Calculated Volume / TCV</x:v>
      </x:c>
      <x:c r="E63" s="51" t="str">
        <x:v>所有石油液体和S&amp;W经适用温度、压力修正后的总量概念，具体是否含FW应按报告定义核对。</x:v>
      </x:c>
      <x:c r="F63" s="51" t="str">
        <x:v>条件</x:v>
      </x:c>
      <x:c r="G63" s="51" t="str">
        <x:v>航次分析和VEF比较基础</x:v>
      </x:c>
      <x:c r="H63" s="51" t="str">
        <x:v>系统输出</x:v>
      </x:c>
      <x:c r="I63" s="51" t="str">
        <x:v>船舶/岸罐</x:v>
      </x:c>
      <x:c r="J63" s="51" t="str">
        <x:v>装货/卸货</x:v>
      </x:c>
      <x:c r="K63" s="51" t="str">
        <x:v>标准定义</x:v>
      </x:c>
      <x:c r="L63" s="51" t="str">
        <x:v>对账报告</x:v>
      </x:c>
      <x:c r="M63" s="51" t="str">
        <x:v>不同表格对TCV口径可能需要业务确认</x:v>
      </x:c>
    </x:row>
    <x:row r="64">
      <x:c r="A64" s="51" t="n">
        <x:v>60</x:v>
      </x:c>
      <x:c r="B64" s="51" t="str">
        <x:v>体积与系数</x:v>
      </x:c>
      <x:c r="C64" s="51" t="str">
        <x:v>显示体积</x:v>
      </x:c>
      <x:c r="D64" s="51" t="str">
        <x:v>Indicated volume</x:v>
      </x:c>
      <x:c r="E64" s="51" t="str">
        <x:v>流量计接收或交付期间起止读数的变化量。</x:v>
      </x:c>
      <x:c r="F64" s="51" t="str">
        <x:v>直接</x:v>
      </x:c>
      <x:c r="G64" s="51" t="str">
        <x:v>动态计量基础</x:v>
      </x:c>
      <x:c r="H64" s="51" t="str">
        <x:v>设备输出</x:v>
      </x:c>
      <x:c r="I64" s="51" t="str">
        <x:v>流量计</x:v>
      </x:c>
      <x:c r="J64" s="51" t="str">
        <x:v>装货/卸货/罐对罐</x:v>
      </x:c>
      <x:c r="K64" s="51" t="str">
        <x:v>流量计读数</x:v>
      </x:c>
      <x:c r="L64" s="51" t="str">
        <x:v>流量计报告</x:v>
      </x:c>
      <x:c r="M64" s="51" t="str">
        <x:v>还需乘流量计系数和温压修正</x:v>
      </x:c>
    </x:row>
    <x:row r="65">
      <x:c r="A65" s="51" t="n">
        <x:v>61</x:v>
      </x:c>
      <x:c r="B65" s="51" t="str">
        <x:v>密度与质量</x:v>
      </x:c>
      <x:c r="C65" s="51" t="str">
        <x:v>标准密度</x:v>
      </x:c>
      <x:c r="D65" s="51" t="str">
        <x:v>Density at reference temperature / ρs</x:v>
      </x:c>
      <x:c r="E65" s="51" t="str">
        <x:v>在规定标准温度下的货物密度。</x:v>
      </x:c>
      <x:c r="F65" s="51" t="str">
        <x:v>直接</x:v>
      </x:c>
      <x:c r="G65" s="51" t="str">
        <x:v>VCF选择和质量换算</x:v>
      </x:c>
      <x:c r="H65" s="51" t="str">
        <x:v>输入参数</x:v>
      </x:c>
      <x:c r="I65" s="51" t="str">
        <x:v>货物</x:v>
      </x:c>
      <x:c r="J65" s="51" t="str">
        <x:v>全部</x:v>
      </x:c>
      <x:c r="K65" s="51" t="str">
        <x:v>实验室/证书/主数据</x:v>
      </x:c>
      <x:c r="L65" s="51" t="str">
        <x:v>计算参数</x:v>
      </x:c>
      <x:c r="M65" s="51" t="str">
        <x:v>明确15°C、20°C或60°F及空气中/真空中</x:v>
      </x:c>
    </x:row>
    <x:row r="66">
      <x:c r="A66" s="51" t="n">
        <x:v>62</x:v>
      </x:c>
      <x:c r="B66" s="51" t="str">
        <x:v>密度与质量</x:v>
      </x:c>
      <x:c r="C66" s="51" t="str">
        <x:v>当前液温密度</x:v>
      </x:c>
      <x:c r="D66" s="51" t="str">
        <x:v>Density at observed temperature / ρt</x:v>
      </x:c>
      <x:c r="E66" s="51" t="str">
        <x:v>货物在现场液温下的密度。</x:v>
      </x:c>
      <x:c r="F66" s="51" t="str">
        <x:v>条件</x:v>
      </x:c>
      <x:c r="G66" s="51" t="str">
        <x:v>γ路线、静压力或质量换算</x:v>
      </x:c>
      <x:c r="H66" s="51" t="str">
        <x:v>输入/系统计算</x:v>
      </x:c>
      <x:c r="I66" s="51" t="str">
        <x:v>货物</x:v>
      </x:c>
      <x:c r="J66" s="51" t="str">
        <x:v>全部</x:v>
      </x:c>
      <x:c r="K66" s="51" t="str">
        <x:v>实测或温度换算</x:v>
      </x:c>
      <x:c r="L66" s="51" t="str">
        <x:v>计算明细</x:v>
      </x:c>
      <x:c r="M66" s="51" t="str">
        <x:v>不得与标准密度混用</x:v>
      </x:c>
    </x:row>
    <x:row r="67">
      <x:c r="A67" s="51" t="n">
        <x:v>63</x:v>
      </x:c>
      <x:c r="B67" s="51" t="str">
        <x:v>密度与质量</x:v>
      </x:c>
      <x:c r="C67" s="51" t="str">
        <x:v>API度</x:v>
      </x:c>
      <x:c r="D67" s="51" t="str">
        <x:v>API gravity</x:v>
      </x:c>
      <x:c r="E67" s="51" t="str">
        <x:v>石油行业表达相对密度的标度，常用于原油和石油产品VCF计算。</x:v>
      </x:c>
      <x:c r="F67" s="51" t="str">
        <x:v>直接/条件</x:v>
      </x:c>
      <x:c r="G67" s="51" t="str">
        <x:v>确定VCF表和标准密度</x:v>
      </x:c>
      <x:c r="H67" s="51" t="str">
        <x:v>输入参数</x:v>
      </x:c>
      <x:c r="I67" s="51" t="str">
        <x:v>石油货物</x:v>
      </x:c>
      <x:c r="J67" s="51" t="str">
        <x:v>全部</x:v>
      </x:c>
      <x:c r="K67" s="51" t="str">
        <x:v>实验室/证书</x:v>
      </x:c>
      <x:c r="L67" s="51" t="str">
        <x:v>质量报告</x:v>
      </x:c>
      <x:c r="M67" s="51" t="str">
        <x:v>须记录对应温度基准</x:v>
      </x:c>
    </x:row>
    <x:row r="68">
      <x:c r="A68" s="51" t="n">
        <x:v>64</x:v>
      </x:c>
      <x:c r="B68" s="51" t="str">
        <x:v>密度与质量</x:v>
      </x:c>
      <x:c r="C68" s="51" t="str">
        <x:v>相对密度</x:v>
      </x:c>
      <x:c r="D68" s="51" t="str">
        <x:v>Relative density / Specific gravity</x:v>
      </x:c>
      <x:c r="E68" s="51" t="str">
        <x:v>货物密度与规定温度下水密度的比值。</x:v>
      </x:c>
      <x:c r="F68" s="51" t="str">
        <x:v>直接/条件</x:v>
      </x:c>
      <x:c r="G68" s="51" t="str">
        <x:v>VCF选择和密度换算</x:v>
      </x:c>
      <x:c r="H68" s="51" t="str">
        <x:v>输入参数</x:v>
      </x:c>
      <x:c r="I68" s="51" t="str">
        <x:v>货物</x:v>
      </x:c>
      <x:c r="J68" s="51" t="str">
        <x:v>全部</x:v>
      </x:c>
      <x:c r="K68" s="51" t="str">
        <x:v>实验室/证书</x:v>
      </x:c>
      <x:c r="L68" s="51" t="str">
        <x:v>质量报告</x:v>
      </x:c>
      <x:c r="M68" s="51" t="str">
        <x:v>必须写清15/4°C、20/4°C或60/60°F等口径</x:v>
      </x:c>
    </x:row>
    <x:row r="69">
      <x:c r="A69" s="51" t="n">
        <x:v>65</x:v>
      </x:c>
      <x:c r="B69" s="51" t="str">
        <x:v>密度与质量</x:v>
      </x:c>
      <x:c r="C69" s="51" t="str">
        <x:v>空气中密度</x:v>
      </x:c>
      <x:c r="D69" s="51" t="str">
        <x:v>Density in air</x:v>
      </x:c>
      <x:c r="E69" s="51" t="str">
        <x:v>考虑空气浮力后的商业称量密度口径。</x:v>
      </x:c>
      <x:c r="F69" s="51" t="str">
        <x:v>直接/条件</x:v>
      </x:c>
      <x:c r="G69" s="51" t="str">
        <x:v>计算空气中重量</x:v>
      </x:c>
      <x:c r="H69" s="51" t="str">
        <x:v>输入/换算</x:v>
      </x:c>
      <x:c r="I69" s="51" t="str">
        <x:v>货物</x:v>
      </x:c>
      <x:c r="J69" s="51" t="str">
        <x:v>全部</x:v>
      </x:c>
      <x:c r="K69" s="51" t="str">
        <x:v>标准算法/实验室</x:v>
      </x:c>
      <x:c r="L69" s="51" t="str">
        <x:v>数量换算</x:v>
      </x:c>
      <x:c r="M69" s="51" t="str">
        <x:v>不得与真空中密度直接混算</x:v>
      </x:c>
    </x:row>
    <x:row r="70">
      <x:c r="A70" s="51" t="n">
        <x:v>66</x:v>
      </x:c>
      <x:c r="B70" s="51" t="str">
        <x:v>密度与质量</x:v>
      </x:c>
      <x:c r="C70" s="51" t="str">
        <x:v>真空中密度</x:v>
      </x:c>
      <x:c r="D70" s="51" t="str">
        <x:v>Density in vacuum</x:v>
      </x:c>
      <x:c r="E70" s="51" t="str">
        <x:v>不考虑空气浮力时的物理质量密度。</x:v>
      </x:c>
      <x:c r="F70" s="51" t="str">
        <x:v>直接</x:v>
      </x:c>
      <x:c r="G70" s="51" t="str">
        <x:v>真空质量=标准体积×真空密度</x:v>
      </x:c>
      <x:c r="H70" s="51" t="str">
        <x:v>输入参数</x:v>
      </x:c>
      <x:c r="I70" s="51" t="str">
        <x:v>货物</x:v>
      </x:c>
      <x:c r="J70" s="51" t="str">
        <x:v>全部</x:v>
      </x:c>
      <x:c r="K70" s="51" t="str">
        <x:v>实验室/标准换算</x:v>
      </x:c>
      <x:c r="L70" s="51" t="str">
        <x:v>数量换算</x:v>
      </x:c>
      <x:c r="M70" s="51" t="str">
        <x:v>单位换算时注意kg/m³与g/cm³</x:v>
      </x:c>
    </x:row>
    <x:row r="71">
      <x:c r="A71" s="51" t="n">
        <x:v>67</x:v>
      </x:c>
      <x:c r="B71" s="51" t="str">
        <x:v>密度与质量</x:v>
      </x:c>
      <x:c r="C71" s="51" t="str">
        <x:v>空气浮力修正</x:v>
      </x:c>
      <x:c r="D71" s="51" t="str">
        <x:v>Air buoyancy correction</x:v>
      </x:c>
      <x:c r="E71" s="51" t="str">
        <x:v>真空质量与空气中商业重量之间的修正。</x:v>
      </x:c>
      <x:c r="F71" s="51" t="str">
        <x:v>条件</x:v>
      </x:c>
      <x:c r="G71" s="51" t="str">
        <x:v>空气中重量=真空质量×适用WCF</x:v>
      </x:c>
      <x:c r="H71" s="51" t="str">
        <x:v>标准算法</x:v>
      </x:c>
      <x:c r="I71" s="51" t="str">
        <x:v>货物</x:v>
      </x:c>
      <x:c r="J71" s="51" t="str">
        <x:v>全部</x:v>
      </x:c>
      <x:c r="K71" s="51" t="str">
        <x:v>适用标准</x:v>
      </x:c>
      <x:c r="L71" s="51" t="str">
        <x:v>数量换算</x:v>
      </x:c>
      <x:c r="M71" s="51" t="str">
        <x:v>具体系数不得凭经验默认</x:v>
      </x:c>
    </x:row>
    <x:row r="72">
      <x:c r="A72" s="51" t="n">
        <x:v>68</x:v>
      </x:c>
      <x:c r="B72" s="51" t="str">
        <x:v>密度与质量</x:v>
      </x:c>
      <x:c r="C72" s="51" t="str">
        <x:v>重量修正系数</x:v>
      </x:c>
      <x:c r="D72" s="51" t="str">
        <x:v>Weight Correction Factor / WCF</x:v>
      </x:c>
      <x:c r="E72" s="51" t="str">
        <x:v>把真空质量换算为空气中商业重量的系数。</x:v>
      </x:c>
      <x:c r="F72" s="51" t="str">
        <x:v>条件</x:v>
      </x:c>
      <x:c r="G72" s="51" t="str">
        <x:v>空气中重量换算</x:v>
      </x:c>
      <x:c r="H72" s="51" t="str">
        <x:v>标准算法结果</x:v>
      </x:c>
      <x:c r="I72" s="51" t="str">
        <x:v>货物</x:v>
      </x:c>
      <x:c r="J72" s="51" t="str">
        <x:v>全部</x:v>
      </x:c>
      <x:c r="K72" s="51" t="str">
        <x:v>密度/标准</x:v>
      </x:c>
      <x:c r="L72" s="51" t="str">
        <x:v>计算参数</x:v>
      </x:c>
      <x:c r="M72" s="51" t="str">
        <x:v>与VCF作用不同</x:v>
      </x:c>
    </x:row>
    <x:row r="73">
      <x:c r="A73" s="51" t="n">
        <x:v>69</x:v>
      </x:c>
      <x:c r="B73" s="51" t="str">
        <x:v>密度与质量</x:v>
      </x:c>
      <x:c r="C73" s="51" t="str">
        <x:v>毛标准质量</x:v>
      </x:c>
      <x:c r="D73" s="51" t="str">
        <x:v>Gross Standard Mass / GSM</x:v>
      </x:c>
      <x:c r="E73" s="51" t="str">
        <x:v>以GSV和相同标准温度的真空密度计算的毛质量。</x:v>
      </x:c>
      <x:c r="F73" s="51" t="str">
        <x:v>直接</x:v>
      </x:c>
      <x:c r="G73" s="51" t="str">
        <x:v>GSM=GSV×ρs</x:v>
      </x:c>
      <x:c r="H73" s="51" t="str">
        <x:v>系统输出</x:v>
      </x:c>
      <x:c r="I73" s="51" t="str">
        <x:v>货物</x:v>
      </x:c>
      <x:c r="J73" s="51" t="str">
        <x:v>全部</x:v>
      </x:c>
      <x:c r="K73" s="51" t="str">
        <x:v>GSV+密度</x:v>
      </x:c>
      <x:c r="L73" s="51" t="str">
        <x:v>数量换算</x:v>
      </x:c>
      <x:c r="M73" s="51" t="str">
        <x:v>注意密度单位换算</x:v>
      </x:c>
    </x:row>
    <x:row r="74">
      <x:c r="A74" s="51" t="n">
        <x:v>70</x:v>
      </x:c>
      <x:c r="B74" s="51" t="str">
        <x:v>密度与质量</x:v>
      </x:c>
      <x:c r="C74" s="51" t="str">
        <x:v>毛标准重量</x:v>
      </x:c>
      <x:c r="D74" s="51" t="str">
        <x:v>Gross Standard Weight / GSW</x:v>
      </x:c>
      <x:c r="E74" s="51" t="str">
        <x:v>毛标准质量按空气浮力口径换算后的空气中重量。</x:v>
      </x:c>
      <x:c r="F74" s="51" t="str">
        <x:v>条件</x:v>
      </x:c>
      <x:c r="G74" s="51" t="str">
        <x:v>GSW=GSM×WCF</x:v>
      </x:c>
      <x:c r="H74" s="51" t="str">
        <x:v>系统输出</x:v>
      </x:c>
      <x:c r="I74" s="51" t="str">
        <x:v>货物</x:v>
      </x:c>
      <x:c r="J74" s="51" t="str">
        <x:v>全部</x:v>
      </x:c>
      <x:c r="K74" s="51" t="str">
        <x:v>GSM+WCF</x:v>
      </x:c>
      <x:c r="L74" s="51" t="str">
        <x:v>数量换算</x:v>
      </x:c>
      <x:c r="M74" s="51" t="str">
        <x:v>商业合同可能直接采用此口径</x:v>
      </x:c>
    </x:row>
    <x:row r="75">
      <x:c r="A75" s="51" t="n">
        <x:v>71</x:v>
      </x:c>
      <x:c r="B75" s="51" t="str">
        <x:v>密度与质量</x:v>
      </x:c>
      <x:c r="C75" s="51" t="str">
        <x:v>净标准质量</x:v>
      </x:c>
      <x:c r="D75" s="51" t="str">
        <x:v>Net Standard Mass / NSM</x:v>
      </x:c>
      <x:c r="E75" s="51" t="str">
        <x:v>以NSV和标准密度计算的净质量。</x:v>
      </x:c>
      <x:c r="F75" s="51" t="str">
        <x:v>直接</x:v>
      </x:c>
      <x:c r="G75" s="51" t="str">
        <x:v>NSM=NSV×ρs</x:v>
      </x:c>
      <x:c r="H75" s="51" t="str">
        <x:v>系统输出</x:v>
      </x:c>
      <x:c r="I75" s="51" t="str">
        <x:v>货物</x:v>
      </x:c>
      <x:c r="J75" s="51" t="str">
        <x:v>全部</x:v>
      </x:c>
      <x:c r="K75" s="51" t="str">
        <x:v>NSV+密度</x:v>
      </x:c>
      <x:c r="L75" s="51" t="str">
        <x:v>数量换算</x:v>
      </x:c>
      <x:c r="M75" s="51" t="str">
        <x:v>已扣FW和S&amp;W</x:v>
      </x:c>
    </x:row>
    <x:row r="76">
      <x:c r="A76" s="51" t="n">
        <x:v>72</x:v>
      </x:c>
      <x:c r="B76" s="51" t="str">
        <x:v>密度与质量</x:v>
      </x:c>
      <x:c r="C76" s="51" t="str">
        <x:v>净标准重量</x:v>
      </x:c>
      <x:c r="D76" s="51" t="str">
        <x:v>Net Standard Weight / NSW</x:v>
      </x:c>
      <x:c r="E76" s="51" t="str">
        <x:v>净标准质量按空气浮力口径换算后的空气中重量。</x:v>
      </x:c>
      <x:c r="F76" s="51" t="str">
        <x:v>条件</x:v>
      </x:c>
      <x:c r="G76" s="51" t="str">
        <x:v>NSW=NSM×WCF</x:v>
      </x:c>
      <x:c r="H76" s="51" t="str">
        <x:v>系统输出</x:v>
      </x:c>
      <x:c r="I76" s="51" t="str">
        <x:v>货物</x:v>
      </x:c>
      <x:c r="J76" s="51" t="str">
        <x:v>全部</x:v>
      </x:c>
      <x:c r="K76" s="51" t="str">
        <x:v>NSM+WCF</x:v>
      </x:c>
      <x:c r="L76" s="51" t="str">
        <x:v>数量换算</x:v>
      </x:c>
      <x:c r="M76" s="51" t="str">
        <x:v>与净标准质量不是同一口径</x:v>
      </x:c>
    </x:row>
    <x:row r="77">
      <x:c r="A77" s="51" t="n">
        <x:v>73</x:v>
      </x:c>
      <x:c r="B77" s="51" t="str">
        <x:v>质量与取样</x:v>
      </x:c>
      <x:c r="C77" s="51" t="str">
        <x:v>沉淀物和水</x:v>
      </x:c>
      <x:c r="D77" s="51" t="str">
        <x:v>Sediment and Water / S&amp;W</x:v>
      </x:c>
      <x:c r="E77" s="51" t="str">
        <x:v>油品中悬浮的非烃固体物和水，由代表样品实验室分析。</x:v>
      </x:c>
      <x:c r="F77" s="51" t="str">
        <x:v>直接</x:v>
      </x:c>
      <x:c r="G77" s="51" t="str">
        <x:v>从GSV扣除形成NSV</x:v>
      </x:c>
      <x:c r="H77" s="51" t="str">
        <x:v>实验室输入</x:v>
      </x:c>
      <x:c r="I77" s="51" t="str">
        <x:v>货物</x:v>
      </x:c>
      <x:c r="J77" s="51" t="str">
        <x:v>全部</x:v>
      </x:c>
      <x:c r="K77" s="51" t="str">
        <x:v>实验室检测</x:v>
      </x:c>
      <x:c r="L77" s="51" t="str">
        <x:v>质量报告</x:v>
      </x:c>
      <x:c r="M77" s="51" t="str">
        <x:v>与游离水分开扣除</x:v>
      </x:c>
    </x:row>
    <x:row r="78">
      <x:c r="A78" s="51" t="n">
        <x:v>74</x:v>
      </x:c>
      <x:c r="B78" s="51" t="str">
        <x:v>质量与取样</x:v>
      </x:c>
      <x:c r="C78" s="51" t="str">
        <x:v>净含量系数</x:v>
      </x:c>
      <x:c r="D78" s="51" t="str">
        <x:v>Cargo net content factor / CSW</x:v>
      </x:c>
      <x:c r="E78" s="51" t="str">
        <x:v>货物净含量占比，通常等于1-S&amp;W比例。</x:v>
      </x:c>
      <x:c r="F78" s="51" t="str">
        <x:v>直接</x:v>
      </x:c>
      <x:c r="G78" s="51" t="str">
        <x:v>NSV=GSV×CSW</x:v>
      </x:c>
      <x:c r="H78" s="51" t="str">
        <x:v>系统计算</x:v>
      </x:c>
      <x:c r="I78" s="51" t="str">
        <x:v>货物</x:v>
      </x:c>
      <x:c r="J78" s="51" t="str">
        <x:v>全部</x:v>
      </x:c>
      <x:c r="K78" s="51" t="str">
        <x:v>S&amp;W</x:v>
      </x:c>
      <x:c r="L78" s="51" t="str">
        <x:v>数量换算</x:v>
      </x:c>
      <x:c r="M78" s="51" t="str">
        <x:v>确认S&amp;W采用V/V还是M/M</x:v>
      </x:c>
    </x:row>
    <x:row r="79">
      <x:c r="A79" s="51" t="n">
        <x:v>75</x:v>
      </x:c>
      <x:c r="B79" s="51" t="str">
        <x:v>质量与取样</x:v>
      </x:c>
      <x:c r="C79" s="51" t="str">
        <x:v>代表样品</x:v>
      </x:c>
      <x:c r="D79" s="51" t="str">
        <x:v>Representative sample</x:v>
      </x:c>
      <x:c r="E79" s="51" t="str">
        <x:v>能够代表整批货物平均性质的样品。</x:v>
      </x:c>
      <x:c r="F79" s="51" t="str">
        <x:v>间接</x:v>
      </x:c>
      <x:c r="G79" s="51" t="str">
        <x:v>提供密度和S&amp;W等关键输入</x:v>
      </x:c>
      <x:c r="H79" s="51" t="str">
        <x:v>样品</x:v>
      </x:c>
      <x:c r="I79" s="51" t="str">
        <x:v>货物</x:v>
      </x:c>
      <x:c r="J79" s="51" t="str">
        <x:v>全部</x:v>
      </x:c>
      <x:c r="K79" s="51" t="str">
        <x:v>取样程序</x:v>
      </x:c>
      <x:c r="L79" s="51" t="str">
        <x:v>取样/质量报告</x:v>
      </x:c>
      <x:c r="M79" s="51" t="str">
        <x:v>取样不代表会直接造成净量偏差</x:v>
      </x:c>
    </x:row>
    <x:row r="80">
      <x:c r="A80" s="51" t="n">
        <x:v>76</x:v>
      </x:c>
      <x:c r="B80" s="51" t="str">
        <x:v>质量与取样</x:v>
      </x:c>
      <x:c r="C80" s="51" t="str">
        <x:v>组合样品</x:v>
      </x:c>
      <x:c r="D80" s="51" t="str">
        <x:v>Composite sample</x:v>
      </x:c>
      <x:c r="E80" s="51" t="str">
        <x:v>按规定比例将多个舱、层次或时间段样品混合形成的代表样品。</x:v>
      </x:c>
      <x:c r="F80" s="51" t="str">
        <x:v>间接</x:v>
      </x:c>
      <x:c r="G80" s="51" t="str">
        <x:v>产生批次质量结果</x:v>
      </x:c>
      <x:c r="H80" s="51" t="str">
        <x:v>样品</x:v>
      </x:c>
      <x:c r="I80" s="51" t="str">
        <x:v>货物</x:v>
      </x:c>
      <x:c r="J80" s="51" t="str">
        <x:v>全部</x:v>
      </x:c>
      <x:c r="K80" s="51" t="str">
        <x:v>人工/自动取样</x:v>
      </x:c>
      <x:c r="L80" s="51" t="str">
        <x:v>取样报告</x:v>
      </x:c>
      <x:c r="M80" s="51" t="str">
        <x:v>混样比例必须可追溯</x:v>
      </x:c>
    </x:row>
    <x:row r="81">
      <x:c r="A81" s="51" t="n">
        <x:v>77</x:v>
      </x:c>
      <x:c r="B81" s="51" t="str">
        <x:v>质量与取样</x:v>
      </x:c>
      <x:c r="C81" s="51" t="str">
        <x:v>点样</x:v>
      </x:c>
      <x:c r="D81" s="51" t="str">
        <x:v>Spot sample</x:v>
      </x:c>
      <x:c r="E81" s="51" t="str">
        <x:v>在特定位置或深度取得的单点样品。</x:v>
      </x:c>
      <x:c r="F81" s="51" t="str">
        <x:v>间接</x:v>
      </x:c>
      <x:c r="G81" s="51" t="str">
        <x:v>用于局部质量判断</x:v>
      </x:c>
      <x:c r="H81" s="51" t="str">
        <x:v>样品</x:v>
      </x:c>
      <x:c r="I81" s="51" t="str">
        <x:v>货物</x:v>
      </x:c>
      <x:c r="J81" s="51" t="str">
        <x:v>全部</x:v>
      </x:c>
      <x:c r="K81" s="51" t="str">
        <x:v>人工取样</x:v>
      </x:c>
      <x:c r="L81" s="51" t="str">
        <x:v>取样报告</x:v>
      </x:c>
      <x:c r="M81" s="51" t="str">
        <x:v>单个点样不一定代表整舱</x:v>
      </x:c>
    </x:row>
    <x:row r="82">
      <x:c r="A82" s="51" t="n">
        <x:v>78</x:v>
      </x:c>
      <x:c r="B82" s="51" t="str">
        <x:v>质量与取样</x:v>
      </x:c>
      <x:c r="C82" s="51" t="str">
        <x:v>自动取样器</x:v>
      </x:c>
      <x:c r="D82" s="51" t="str">
        <x:v>Automatic sampler</x:v>
      </x:c>
      <x:c r="E82" s="51" t="str">
        <x:v>按流量或时间自动从管线取得增量样品的设备。</x:v>
      </x:c>
      <x:c r="F82" s="51" t="str">
        <x:v>间接</x:v>
      </x:c>
      <x:c r="G82" s="51" t="str">
        <x:v>产生流量比例代表样</x:v>
      </x:c>
      <x:c r="H82" s="51" t="str">
        <x:v>设备/样品</x:v>
      </x:c>
      <x:c r="I82" s="51" t="str">
        <x:v>管线</x:v>
      </x:c>
      <x:c r="J82" s="51" t="str">
        <x:v>装货/卸货/罐对罐</x:v>
      </x:c>
      <x:c r="K82" s="51" t="str">
        <x:v>自动取样系统</x:v>
      </x:c>
      <x:c r="L82" s="51" t="str">
        <x:v>取样报告</x:v>
      </x:c>
      <x:c r="M82" s="51" t="str">
        <x:v>核对样品体积和设备运行记录</x:v>
      </x:c>
    </x:row>
    <x:row r="83">
      <x:c r="A83" s="51" t="n">
        <x:v>79</x:v>
      </x:c>
      <x:c r="B83" s="51" t="str">
        <x:v>质量与取样</x:v>
      </x:c>
      <x:c r="C83" s="51" t="str">
        <x:v>乳化层</x:v>
      </x:c>
      <x:c r="D83" s="51" t="str">
        <x:v>Emulsion layer</x:v>
      </x:c>
      <x:c r="E83" s="51" t="str">
        <x:v>油水界面附近形成的油水乳化混合层。</x:v>
      </x:c>
      <x:c r="F83" s="51" t="str">
        <x:v>条件</x:v>
      </x:c>
      <x:c r="G83" s="51" t="str">
        <x:v>影响FW界面和质量判断</x:v>
      </x:c>
      <x:c r="H83" s="51" t="str">
        <x:v>人工观察/样品</x:v>
      </x:c>
      <x:c r="I83" s="51" t="str">
        <x:v>船舱/岸罐/污油舱</x:v>
      </x:c>
      <x:c r="J83" s="51" t="str">
        <x:v>全部</x:v>
      </x:c>
      <x:c r="K83" s="51" t="str">
        <x:v>UTI/取样</x:v>
      </x:c>
      <x:c r="L83" s="51" t="str">
        <x:v>游离水报告</x:v>
      </x:c>
      <x:c r="M83" s="51" t="str">
        <x:v>不能简单全部归为油或水</x:v>
      </x:c>
    </x:row>
    <x:row r="84">
      <x:c r="A84" s="51" t="n">
        <x:v>80</x:v>
      </x:c>
      <x:c r="B84" s="51" t="str">
        <x:v>质量与取样</x:v>
      </x:c>
      <x:c r="C84" s="51" t="str">
        <x:v>污油</x:v>
      </x:c>
      <x:c r="D84" s="51" t="str">
        <x:v>Slops</x:v>
      </x:c>
      <x:c r="E84" s="51" t="str">
        <x:v>污油舱或指定货舱内的油、油水沉淀物和乳化液混合物。</x:v>
      </x:c>
      <x:c r="F84" s="51" t="str">
        <x:v>条件</x:v>
      </x:c>
      <x:c r="G84" s="51" t="str">
        <x:v>混装时作为OBQ；残留时可能为ROB</x:v>
      </x:c>
      <x:c r="H84" s="51" t="str">
        <x:v>物料分类</x:v>
      </x:c>
      <x:c r="I84" s="51" t="str">
        <x:v>污油舱/货舱</x:v>
      </x:c>
      <x:c r="J84" s="51" t="str">
        <x:v>装货/卸货</x:v>
      </x:c>
      <x:c r="K84" s="51" t="str">
        <x:v>测量+取样</x:v>
      </x:c>
      <x:c r="L84" s="51" t="str">
        <x:v>污油舱报告</x:v>
      </x:c>
      <x:c r="M84" s="51" t="str">
        <x:v>是否进入商业货量须按业务边界确认</x:v>
      </x:c>
    </x:row>
    <x:row r="85">
      <x:c r="A85" s="51" t="n">
        <x:v>81</x:v>
      </x:c>
      <x:c r="B85" s="51" t="str">
        <x:v>质量与取样</x:v>
      </x:c>
      <x:c r="C85" s="51" t="str">
        <x:v>舱壁附着物</x:v>
      </x:c>
      <x:c r="D85" s="51" t="str">
        <x:v>Clingage</x:v>
      </x:c>
      <x:c r="E85" s="51" t="str">
        <x:v>附着在舱壁、舱底或内部结构上，无法完全泵出的货物残留。</x:v>
      </x:c>
      <x:c r="F85" s="51" t="str">
        <x:v>条件</x:v>
      </x:c>
      <x:c r="G85" s="51" t="str">
        <x:v>可能形成非液体OBQ/ROB</x:v>
      </x:c>
      <x:c r="H85" s="51" t="str">
        <x:v>物料分类</x:v>
      </x:c>
      <x:c r="I85" s="51" t="str">
        <x:v>船舱</x:v>
      </x:c>
      <x:c r="J85" s="51" t="str">
        <x:v>装货前/卸货后</x:v>
      </x:c>
      <x:c r="K85" s="51" t="str">
        <x:v>检查/估算</x:v>
      </x:c>
      <x:c r="L85" s="51" t="str">
        <x:v>OBQ/ROB报告</x:v>
      </x:c>
      <x:c r="M85" s="51" t="str">
        <x:v>不能用普通液位查表直接计算</x:v>
      </x:c>
    </x:row>
    <x:row r="86">
      <x:c r="A86" s="51" t="n">
        <x:v>82</x:v>
      </x:c>
      <x:c r="B86" s="51" t="str">
        <x:v>特殊数量</x:v>
      </x:c>
      <x:c r="C86" s="51" t="str">
        <x:v>装货前船存量</x:v>
      </x:c>
      <x:c r="D86" s="51" t="str">
        <x:v>On-board Quantity / OBQ</x:v>
      </x:c>
      <x:c r="E86" s="51" t="str">
        <x:v>装货前存在于货舱、空隙和管线内的水、油、污油、乳化物或沉淀物。</x:v>
      </x:c>
      <x:c r="F86" s="51" t="str">
        <x:v>直接</x:v>
      </x:c>
      <x:c r="G86" s="51" t="str">
        <x:v>船舶装货量=装后船量-OBQ</x:v>
      </x:c>
      <x:c r="H86" s="51" t="str">
        <x:v>系统输入/输出</x:v>
      </x:c>
      <x:c r="I86" s="51" t="str">
        <x:v>船舶</x:v>
      </x:c>
      <x:c r="J86" s="51" t="str">
        <x:v>装货</x:v>
      </x:c>
      <x:c r="K86" s="51" t="str">
        <x:v>装货前检查</x:v>
      </x:c>
      <x:c r="L86" s="51" t="str">
        <x:v>OBQ报告</x:v>
      </x:c>
      <x:c r="M86" s="51" t="str">
        <x:v>液体、非液体和FW需分类</x:v>
      </x:c>
    </x:row>
    <x:row r="87">
      <x:c r="A87" s="51" t="n">
        <x:v>83</x:v>
      </x:c>
      <x:c r="B87" s="51" t="str">
        <x:v>特殊数量</x:v>
      </x:c>
      <x:c r="C87" s="51" t="str">
        <x:v>卸货后船存量</x:v>
      </x:c>
      <x:c r="D87" s="51" t="str">
        <x:v>Remaining on Board / ROB</x:v>
      </x:c>
      <x:c r="E87" s="51" t="str">
        <x:v>卸货结束后仍留在货舱、空隙和管线内的水、油、污油、乳化物或沉淀物。</x:v>
      </x:c>
      <x:c r="F87" s="51" t="str">
        <x:v>直接</x:v>
      </x:c>
      <x:c r="G87" s="51" t="str">
        <x:v>船舶卸货量=抵港船量-ROB</x:v>
      </x:c>
      <x:c r="H87" s="51" t="str">
        <x:v>系统输入/输出</x:v>
      </x:c>
      <x:c r="I87" s="51" t="str">
        <x:v>船舶</x:v>
      </x:c>
      <x:c r="J87" s="51" t="str">
        <x:v>卸货</x:v>
      </x:c>
      <x:c r="K87" s="51" t="str">
        <x:v>卸货后检查</x:v>
      </x:c>
      <x:c r="L87" s="51" t="str">
        <x:v>ROB报告</x:v>
      </x:c>
      <x:c r="M87" s="51" t="str">
        <x:v>应在管线排净且内部转移完成后测量</x:v>
      </x:c>
    </x:row>
    <x:row r="88">
      <x:c r="A88" s="51" t="n">
        <x:v>84</x:v>
      </x:c>
      <x:c r="B88" s="51" t="str">
        <x:v>特殊数量</x:v>
      </x:c>
      <x:c r="C88" s="51" t="str">
        <x:v>污油上装载</x:v>
      </x:c>
      <x:c r="D88" s="51" t="str">
        <x:v>Load on top</x:v>
      </x:c>
      <x:c r="E88" s="51" t="str">
        <x:v>将新货装到船上已有污油之上并发生混合的操作。</x:v>
      </x:c>
      <x:c r="F88" s="51" t="str">
        <x:v>条件</x:v>
      </x:c>
      <x:c r="G88" s="51" t="str">
        <x:v>原污油作为OBQ扣除</x:v>
      </x:c>
      <x:c r="H88" s="51" t="str">
        <x:v>业务程序</x:v>
      </x:c>
      <x:c r="I88" s="51" t="str">
        <x:v>船舶</x:v>
      </x:c>
      <x:c r="J88" s="51" t="str">
        <x:v>装货</x:v>
      </x:c>
      <x:c r="K88" s="51" t="str">
        <x:v>协调会议+污油测量</x:v>
      </x:c>
      <x:c r="L88" s="51" t="str">
        <x:v>Load-on-top报告</x:v>
      </x:c>
      <x:c r="M88" s="51" t="str">
        <x:v>影响货物质量和装货量归属</x:v>
      </x:c>
    </x:row>
    <x:row r="89">
      <x:c r="A89" s="51" t="n">
        <x:v>85</x:v>
      </x:c>
      <x:c r="B89" s="51" t="str">
        <x:v>特殊数量</x:v>
      </x:c>
      <x:c r="C89" s="51" t="str">
        <x:v>压载水</x:v>
      </x:c>
      <x:c r="D89" s="51" t="str">
        <x:v>Ballast water</x:v>
      </x:c>
      <x:c r="E89" s="51" t="str">
        <x:v>为保持吃水、纵倾、横倾和稳性而装入压载舱的水。</x:v>
      </x:c>
      <x:c r="F89" s="51" t="str">
        <x:v>间接</x:v>
      </x:c>
      <x:c r="G89" s="51" t="str">
        <x:v>正常不进入货量；影响船舶姿态</x:v>
      </x:c>
      <x:c r="H89" s="51" t="str">
        <x:v>船舶状态</x:v>
      </x:c>
      <x:c r="I89" s="51" t="str">
        <x:v>压载舱</x:v>
      </x:c>
      <x:c r="J89" s="51" t="str">
        <x:v>装货/卸货/船对船</x:v>
      </x:c>
      <x:c r="K89" s="51" t="str">
        <x:v>现场记录</x:v>
      </x:c>
      <x:c r="L89" s="51" t="str">
        <x:v>压载记录</x:v>
      </x:c>
      <x:c r="M89" s="51" t="str">
        <x:v>进入货舱后按FW/OBQ等处理</x:v>
      </x:c>
    </x:row>
    <x:row r="90">
      <x:c r="A90" s="51" t="n">
        <x:v>86</x:v>
      </x:c>
      <x:c r="B90" s="51" t="str">
        <x:v>特殊数量</x:v>
      </x:c>
      <x:c r="C90" s="51" t="str">
        <x:v>清洁压载</x:v>
      </x:c>
      <x:c r="D90" s="51" t="str">
        <x:v>Clean ballast</x:v>
      </x:c>
      <x:c r="E90" s="51" t="str">
        <x:v>与货物系统隔离、未被油品污染的压载水。</x:v>
      </x:c>
      <x:c r="F90" s="51" t="str">
        <x:v>否/间接</x:v>
      </x:c>
      <x:c r="G90" s="51" t="str">
        <x:v>只影响船舶状态</x:v>
      </x:c>
      <x:c r="H90" s="51" t="str">
        <x:v>船舶状态</x:v>
      </x:c>
      <x:c r="I90" s="51" t="str">
        <x:v>压载舱</x:v>
      </x:c>
      <x:c r="J90" s="51" t="str">
        <x:v>装货/卸货</x:v>
      </x:c>
      <x:c r="K90" s="51" t="str">
        <x:v>现场记录</x:v>
      </x:c>
      <x:c r="L90" s="51" t="str">
        <x:v>压载记录</x:v>
      </x:c>
      <x:c r="M90" s="51" t="str">
        <x:v>确认隔离方式</x:v>
      </x:c>
    </x:row>
    <x:row r="91">
      <x:c r="A91" s="51" t="n">
        <x:v>87</x:v>
      </x:c>
      <x:c r="B91" s="51" t="str">
        <x:v>特殊数量</x:v>
      </x:c>
      <x:c r="C91" s="51" t="str">
        <x:v>脏压载</x:v>
      </x:c>
      <x:c r="D91" s="51" t="str">
        <x:v>Dirty ballast</x:v>
      </x:c>
      <x:c r="E91" s="51" t="str">
        <x:v>与油品接触或含油污染的压载水。</x:v>
      </x:c>
      <x:c r="F91" s="51" t="str">
        <x:v>条件</x:v>
      </x:c>
      <x:c r="G91" s="51" t="str">
        <x:v>分离后可能形成污油和FW</x:v>
      </x:c>
      <x:c r="H91" s="51" t="str">
        <x:v>物料分类</x:v>
      </x:c>
      <x:c r="I91" s="51" t="str">
        <x:v>压载舱/污油舱</x:v>
      </x:c>
      <x:c r="J91" s="51" t="str">
        <x:v>装货/卸货</x:v>
      </x:c>
      <x:c r="K91" s="51" t="str">
        <x:v>测量+取样</x:v>
      </x:c>
      <x:c r="L91" s="51" t="str">
        <x:v>污油/压载报告</x:v>
      </x:c>
      <x:c r="M91" s="51" t="str">
        <x:v>可能造成污染和数量异常</x:v>
      </x:c>
    </x:row>
    <x:row r="92">
      <x:c r="A92" s="51" t="n">
        <x:v>88</x:v>
      </x:c>
      <x:c r="B92" s="51" t="str">
        <x:v>特殊数量</x:v>
      </x:c>
      <x:c r="C92" s="51" t="str">
        <x:v>扫舱</x:v>
      </x:c>
      <x:c r="D92" s="51" t="str">
        <x:v>Tank stripping</x:v>
      </x:c>
      <x:c r="E92" s="51" t="str">
        <x:v>使用货泵或扫舱系统尽量排出舱底剩余货物的操作。</x:v>
      </x:c>
      <x:c r="F92" s="51" t="str">
        <x:v>间接</x:v>
      </x:c>
      <x:c r="G92" s="51" t="str">
        <x:v>减少ROB</x:v>
      </x:c>
      <x:c r="H92" s="51" t="str">
        <x:v>操作记录</x:v>
      </x:c>
      <x:c r="I92" s="51" t="str">
        <x:v>船舱</x:v>
      </x:c>
      <x:c r="J92" s="51" t="str">
        <x:v>卸货</x:v>
      </x:c>
      <x:c r="K92" s="51" t="str">
        <x:v>时间日志</x:v>
      </x:c>
      <x:c r="L92" s="51" t="str">
        <x:v>卸货/ROB报告</x:v>
      </x:c>
      <x:c r="M92" s="51" t="str">
        <x:v>扫舱不充分会增加ROB</x:v>
      </x:c>
    </x:row>
    <x:row r="93">
      <x:c r="A93" s="51" t="n">
        <x:v>89</x:v>
      </x:c>
      <x:c r="B93" s="51" t="str">
        <x:v>特殊数量</x:v>
      </x:c>
      <x:c r="C93" s="51" t="str">
        <x:v>洗舱</x:v>
      </x:c>
      <x:c r="D93" s="51" t="str">
        <x:v>Tank washing</x:v>
      </x:c>
      <x:c r="E93" s="51" t="str">
        <x:v>用水或其他介质清洗舱壁、舱底和内部结构的操作。</x:v>
      </x:c>
      <x:c r="F93" s="51" t="str">
        <x:v>间接/异常</x:v>
      </x:c>
      <x:c r="G93" s="51" t="str">
        <x:v>产生污油和洗舱水</x:v>
      </x:c>
      <x:c r="H93" s="51" t="str">
        <x:v>操作记录</x:v>
      </x:c>
      <x:c r="I93" s="51" t="str">
        <x:v>船舱/污油舱</x:v>
      </x:c>
      <x:c r="J93" s="51" t="str">
        <x:v>卸货后/装货前</x:v>
      </x:c>
      <x:c r="K93" s="51" t="str">
        <x:v>船方记录</x:v>
      </x:c>
      <x:c r="L93" s="51" t="str">
        <x:v>洗舱报告</x:v>
      </x:c>
      <x:c r="M93" s="51" t="str">
        <x:v>可能影响污油舱和后续货物质量</x:v>
      </x:c>
    </x:row>
    <x:row r="94">
      <x:c r="A94" s="51" t="n">
        <x:v>90</x:v>
      </x:c>
      <x:c r="B94" s="51" t="str">
        <x:v>特殊数量</x:v>
      </x:c>
      <x:c r="C94" s="51" t="str">
        <x:v>原油洗舱</x:v>
      </x:c>
      <x:c r="D94" s="51" t="str">
        <x:v>Crude Oil Washing / COW</x:v>
      </x:c>
      <x:c r="E94" s="51" t="str">
        <x:v>卸货过程中利用原油高压冲洗原油货舱以减少附着残留。</x:v>
      </x:c>
      <x:c r="F94" s="51" t="str">
        <x:v>间接</x:v>
      </x:c>
      <x:c r="G94" s="51" t="str">
        <x:v>减少ROB并改变卸货过程</x:v>
      </x:c>
      <x:c r="H94" s="51" t="str">
        <x:v>操作记录</x:v>
      </x:c>
      <x:c r="I94" s="51" t="str">
        <x:v>原油船</x:v>
      </x:c>
      <x:c r="J94" s="51" t="str">
        <x:v>卸货</x:v>
      </x:c>
      <x:c r="K94" s="51" t="str">
        <x:v>船方记录</x:v>
      </x:c>
      <x:c r="L94" s="51" t="str">
        <x:v>COW报告</x:v>
      </x:c>
      <x:c r="M94" s="51" t="str">
        <x:v>需记录使用舱和操作时间</x:v>
      </x:c>
    </x:row>
    <x:row r="95">
      <x:c r="A95" s="51" t="n">
        <x:v>91</x:v>
      </x:c>
      <x:c r="B95" s="51" t="str">
        <x:v>动态计量</x:v>
      </x:c>
      <x:c r="C95" s="51" t="str">
        <x:v>流量计</x:v>
      </x:c>
      <x:c r="D95" s="51" t="str">
        <x:v>Meter</x:v>
      </x:c>
      <x:c r="E95" s="51" t="str">
        <x:v>通过管线动态测量货物流量和累计数量的设备。</x:v>
      </x:c>
      <x:c r="F95" s="51" t="str">
        <x:v>直接/条件</x:v>
      </x:c>
      <x:c r="G95" s="51" t="str">
        <x:v>形成动态计量数量</x:v>
      </x:c>
      <x:c r="H95" s="51" t="str">
        <x:v>设备</x:v>
      </x:c>
      <x:c r="I95" s="51" t="str">
        <x:v>管线</x:v>
      </x:c>
      <x:c r="J95" s="51" t="str">
        <x:v>装货/卸货/罐对罐</x:v>
      </x:c>
      <x:c r="K95" s="51" t="str">
        <x:v>设备读数</x:v>
      </x:c>
      <x:c r="L95" s="51" t="str">
        <x:v>流量计报告</x:v>
      </x:c>
      <x:c r="M95" s="51" t="str">
        <x:v>与静态舱罐量应统一口径比较</x:v>
      </x:c>
    </x:row>
    <x:row r="96">
      <x:c r="A96" s="51" t="n">
        <x:v>92</x:v>
      </x:c>
      <x:c r="B96" s="51" t="str">
        <x:v>动态计量</x:v>
      </x:c>
      <x:c r="C96" s="51" t="str">
        <x:v>流量计系数</x:v>
      </x:c>
      <x:c r="D96" s="51" t="str">
        <x:v>Meter factor / MF</x:v>
      </x:c>
      <x:c r="E96" s="51" t="str">
        <x:v>通过流量计检定得到、用于修正流量计指示体积的系数。</x:v>
      </x:c>
      <x:c r="F96" s="51" t="str">
        <x:v>直接</x:v>
      </x:c>
      <x:c r="G96" s="51" t="str">
        <x:v>修正显示体积</x:v>
      </x:c>
      <x:c r="H96" s="51" t="str">
        <x:v>设备参数</x:v>
      </x:c>
      <x:c r="I96" s="51" t="str">
        <x:v>流量计</x:v>
      </x:c>
      <x:c r="J96" s="51" t="str">
        <x:v>装货/卸货/罐对罐</x:v>
      </x:c>
      <x:c r="K96" s="51" t="str">
        <x:v>检定报告</x:v>
      </x:c>
      <x:c r="L96" s="51" t="str">
        <x:v>流量计报告</x:v>
      </x:c>
      <x:c r="M96" s="51" t="str">
        <x:v>使用与作业期间有效的系数</x:v>
      </x:c>
    </x:row>
    <x:row r="97">
      <x:c r="A97" s="51" t="n">
        <x:v>93</x:v>
      </x:c>
      <x:c r="B97" s="51" t="str">
        <x:v>动态计量</x:v>
      </x:c>
      <x:c r="C97" s="51" t="str">
        <x:v>流量计检定</x:v>
      </x:c>
      <x:c r="D97" s="51" t="str">
        <x:v>Meter proving</x:v>
      </x:c>
      <x:c r="E97" s="51" t="str">
        <x:v>使用标准器确定或验证流量计系数的过程。</x:v>
      </x:c>
      <x:c r="F97" s="51" t="str">
        <x:v>间接</x:v>
      </x:c>
      <x:c r="G97" s="51" t="str">
        <x:v>提供MF</x:v>
      </x:c>
      <x:c r="H97" s="51" t="str">
        <x:v>设备程序</x:v>
      </x:c>
      <x:c r="I97" s="51" t="str">
        <x:v>流量计</x:v>
      </x:c>
      <x:c r="J97" s="51" t="str">
        <x:v>装货/卸货/罐对罐</x:v>
      </x:c>
      <x:c r="K97" s="51" t="str">
        <x:v>检定记录</x:v>
      </x:c>
      <x:c r="L97" s="51" t="str">
        <x:v>流量计报告</x:v>
      </x:c>
      <x:c r="M97" s="51" t="str">
        <x:v>记录检定时间、频次和适用范围</x:v>
      </x:c>
    </x:row>
    <x:row r="98">
      <x:c r="A98" s="51" t="n">
        <x:v>94</x:v>
      </x:c>
      <x:c r="B98" s="51" t="str">
        <x:v>动态计量</x:v>
      </x:c>
      <x:c r="C98" s="51" t="str">
        <x:v>管线充满状态</x:v>
      </x:c>
      <x:c r="D98" s="51" t="str">
        <x:v>Line fullness</x:v>
      </x:c>
      <x:c r="E98" s="51" t="str">
        <x:v>货物转移前后管线是充满、空或部分充满的状态。</x:v>
      </x:c>
      <x:c r="F98" s="51" t="str">
        <x:v>条件</x:v>
      </x:c>
      <x:c r="G98" s="51" t="str">
        <x:v>前后状态差形成管线数量差</x:v>
      </x:c>
      <x:c r="H98" s="51" t="str">
        <x:v>状态输入</x:v>
      </x:c>
      <x:c r="I98" s="51" t="str">
        <x:v>管线</x:v>
      </x:c>
      <x:c r="J98" s="51" t="str">
        <x:v>装货/卸货/船对船/罐对罐</x:v>
      </x:c>
      <x:c r="K98" s="51" t="str">
        <x:v>验证/排量试验</x:v>
      </x:c>
      <x:c r="L98" s="51" t="str">
        <x:v>管线报告</x:v>
      </x:c>
      <x:c r="M98" s="51" t="str">
        <x:v>必须在对账中单列解释</x:v>
      </x:c>
    </x:row>
    <x:row r="99">
      <x:c r="A99" s="51" t="n">
        <x:v>95</x:v>
      </x:c>
      <x:c r="B99" s="51" t="str">
        <x:v>动态计量</x:v>
      </x:c>
      <x:c r="C99" s="51" t="str">
        <x:v>管线排量试验</x:v>
      </x:c>
      <x:c r="D99" s="51" t="str">
        <x:v>Line displacement test</x:v>
      </x:c>
      <x:c r="E99" s="51" t="str">
        <x:v>用已知数量或受控转移验证管线充满状态和管线量的方法。</x:v>
      </x:c>
      <x:c r="F99" s="51" t="str">
        <x:v>条件</x:v>
      </x:c>
      <x:c r="G99" s="51" t="str">
        <x:v>确认管线数量影响</x:v>
      </x:c>
      <x:c r="H99" s="51" t="str">
        <x:v>测试程序</x:v>
      </x:c>
      <x:c r="I99" s="51" t="str">
        <x:v>管线</x:v>
      </x:c>
      <x:c r="J99" s="51" t="str">
        <x:v>装货/卸货/罐对罐</x:v>
      </x:c>
      <x:c r="K99" s="51" t="str">
        <x:v>现场试验</x:v>
      </x:c>
      <x:c r="L99" s="51" t="str">
        <x:v>管线报告</x:v>
      </x:c>
      <x:c r="M99" s="51" t="str">
        <x:v>方法需双方约定</x:v>
      </x:c>
    </x:row>
    <x:row r="100">
      <x:c r="A100" s="51" t="n">
        <x:v>96</x:v>
      </x:c>
      <x:c r="B100" s="51" t="str">
        <x:v>动态计量</x:v>
      </x:c>
      <x:c r="C100" s="51" t="str">
        <x:v>压力</x:v>
      </x:c>
      <x:c r="D100" s="51" t="str">
        <x:v>Pressure</x:v>
      </x:c>
      <x:c r="E100" s="51" t="str">
        <x:v>货物在流量计或管线中的操作压力。</x:v>
      </x:c>
      <x:c r="F100" s="51" t="str">
        <x:v>条件</x:v>
      </x:c>
      <x:c r="G100" s="51" t="str">
        <x:v>适用时计算CPL</x:v>
      </x:c>
      <x:c r="H100" s="51" t="str">
        <x:v>设备输入</x:v>
      </x:c>
      <x:c r="I100" s="51" t="str">
        <x:v>管线/流量计</x:v>
      </x:c>
      <x:c r="J100" s="51" t="str">
        <x:v>动态计量</x:v>
      </x:c>
      <x:c r="K100" s="51" t="str">
        <x:v>压力计</x:v>
      </x:c>
      <x:c r="L100" s="51" t="str">
        <x:v>流量计报告</x:v>
      </x:c>
      <x:c r="M100" s="51" t="str">
        <x:v>静态舱罐与动态高压计量条件不同</x:v>
      </x:c>
    </x:row>
    <x:row r="101">
      <x:c r="A101" s="51" t="n">
        <x:v>97</x:v>
      </x:c>
      <x:c r="B101" s="51" t="str">
        <x:v>经验与对账</x:v>
      </x:c>
      <x:c r="C101" s="51" t="str">
        <x:v>船舶经验系数</x:v>
      </x:c>
      <x:c r="D101" s="51" t="str">
        <x:v>Vessel Experience Factor / VEF</x:v>
      </x:c>
      <x:c r="E101" s="51" t="str">
        <x:v>多个合格历史航次中船舶TCV与岸方TCV比较形成的经验比值。</x:v>
      </x:c>
      <x:c r="F101" s="51" t="str">
        <x:v>条件/间接</x:v>
      </x:c>
      <x:c r="G101" s="51" t="str">
        <x:v>合理性核对或按约定调整比较</x:v>
      </x:c>
      <x:c r="H101" s="51" t="str">
        <x:v>历史参数</x:v>
      </x:c>
      <x:c r="I101" s="51" t="str">
        <x:v>船舶</x:v>
      </x:c>
      <x:c r="J101" s="51" t="str">
        <x:v>装货/卸货</x:v>
      </x:c>
      <x:c r="K101" s="51" t="str">
        <x:v>历史航次</x:v>
      </x:c>
      <x:c r="L101" s="51" t="str">
        <x:v>VEF报告</x:v>
      </x:c>
      <x:c r="M101" s="51" t="str">
        <x:v>不是单次航次后随意新增并直接修正每舱GSV</x:v>
      </x:c>
    </x:row>
    <x:row r="102">
      <x:c r="A102" s="51" t="n">
        <x:v>98</x:v>
      </x:c>
      <x:c r="B102" s="51" t="str">
        <x:v>经验与对账</x:v>
      </x:c>
      <x:c r="C102" s="51" t="str">
        <x:v>船岸差</x:v>
      </x:c>
      <x:c r="D102" s="51" t="str">
        <x:v>Vessel/Shore Difference</x:v>
      </x:c>
      <x:c r="E102" s="51" t="str">
        <x:v>统一口径下船舶转移量与岸方转移量的差值。</x:v>
      </x:c>
      <x:c r="F102" s="51" t="str">
        <x:v>直接</x:v>
      </x:c>
      <x:c r="G102" s="51" t="str">
        <x:v>差值=船量-岸量</x:v>
      </x:c>
      <x:c r="H102" s="51" t="str">
        <x:v>系统输出</x:v>
      </x:c>
      <x:c r="I102" s="51" t="str">
        <x:v>船舶/岸罐</x:v>
      </x:c>
      <x:c r="J102" s="51" t="str">
        <x:v>装货/卸货</x:v>
      </x:c>
      <x:c r="K102" s="51" t="str">
        <x:v>船岸结果</x:v>
      </x:c>
      <x:c r="L102" s="51" t="str">
        <x:v>对账报告</x:v>
      </x:c>
      <x:c r="M102" s="51" t="str">
        <x:v>先统一毛净、温度和单位</x:v>
      </x:c>
    </x:row>
    <x:row r="103">
      <x:c r="A103" s="51" t="n">
        <x:v>99</x:v>
      </x:c>
      <x:c r="B103" s="51" t="str">
        <x:v>经验与对账</x:v>
      </x:c>
      <x:c r="C103" s="51" t="str">
        <x:v>差异百分比</x:v>
      </x:c>
      <x:c r="D103" s="51" t="str">
        <x:v>Difference percentage</x:v>
      </x:c>
      <x:c r="E103" s="51" t="str">
        <x:v>差值相对于约定基准数量的百分比。</x:v>
      </x:c>
      <x:c r="F103" s="51" t="str">
        <x:v>直接</x:v>
      </x:c>
      <x:c r="G103" s="51" t="str">
        <x:v>差异率=差值÷约定基准</x:v>
      </x:c>
      <x:c r="H103" s="51" t="str">
        <x:v>系统输出</x:v>
      </x:c>
      <x:c r="I103" s="51" t="str">
        <x:v>船舶/岸罐</x:v>
      </x:c>
      <x:c r="J103" s="51" t="str">
        <x:v>全部转移</x:v>
      </x:c>
      <x:c r="K103" s="51" t="str">
        <x:v>对账规则</x:v>
      </x:c>
      <x:c r="L103" s="51" t="str">
        <x:v>对账报告</x:v>
      </x:c>
      <x:c r="M103" s="51" t="str">
        <x:v>分母口径必须明确</x:v>
      </x:c>
    </x:row>
    <x:row r="104">
      <x:c r="A104" s="51" t="n">
        <x:v>100</x:v>
      </x:c>
      <x:c r="B104" s="51" t="str">
        <x:v>经验与对账</x:v>
      </x:c>
      <x:c r="C104" s="51" t="str">
        <x:v>允许船岸差率</x:v>
      </x:c>
      <x:c r="D104" s="51" t="str">
        <x:v>Allowable vessel/shore difference</x:v>
      </x:c>
      <x:c r="E104" s="51" t="str">
        <x:v>合同或公司政策允许的船岸差异阈值。</x:v>
      </x:c>
      <x:c r="F104" s="51" t="str">
        <x:v>条件</x:v>
      </x:c>
      <x:c r="G104" s="51" t="str">
        <x:v>触发复核和升级</x:v>
      </x:c>
      <x:c r="H104" s="51" t="str">
        <x:v>控制参数</x:v>
      </x:c>
      <x:c r="I104" s="51" t="str">
        <x:v>作业</x:v>
      </x:c>
      <x:c r="J104" s="51" t="str">
        <x:v>全部转移</x:v>
      </x:c>
      <x:c r="K104" s="51" t="str">
        <x:v>合同/政策</x:v>
      </x:c>
      <x:c r="L104" s="51" t="str">
        <x:v>对账报告</x:v>
      </x:c>
      <x:c r="M104" s="51" t="str">
        <x:v>不应被用来强行调整原始数量</x:v>
      </x:c>
    </x:row>
    <x:row r="105">
      <x:c r="A105" s="51" t="n">
        <x:v>101</x:v>
      </x:c>
      <x:c r="B105" s="51" t="str">
        <x:v>经验与对账</x:v>
      </x:c>
      <x:c r="C105" s="51" t="str">
        <x:v>航次分析</x:v>
      </x:c>
      <x:c r="D105" s="51" t="str">
        <x:v>Voyage analysis</x:v>
      </x:c>
      <x:c r="E105" s="51" t="str">
        <x:v>从装货港到卸货港汇总船岸量、OBQ/ROB、VEF和异常事件进行解释。</x:v>
      </x:c>
      <x:c r="F105" s="51" t="str">
        <x:v>间接</x:v>
      </x:c>
      <x:c r="G105" s="51" t="str">
        <x:v>解释运输和计量差异</x:v>
      </x:c>
      <x:c r="H105" s="51" t="str">
        <x:v>分析过程</x:v>
      </x:c>
      <x:c r="I105" s="51" t="str">
        <x:v>船舶/岸罐</x:v>
      </x:c>
      <x:c r="J105" s="51" t="str">
        <x:v>装货+卸货</x:v>
      </x:c>
      <x:c r="K105" s="51" t="str">
        <x:v>各阶段报告</x:v>
      </x:c>
      <x:c r="L105" s="51" t="str">
        <x:v>航次分析报告</x:v>
      </x:c>
      <x:c r="M105" s="51" t="str">
        <x:v>要求所有比较在同一口径</x:v>
      </x:c>
    </x:row>
    <x:row r="106">
      <x:c r="A106" s="51" t="n">
        <x:v>102</x:v>
      </x:c>
      <x:c r="B106" s="51" t="str">
        <x:v>报告与文件</x:v>
      </x:c>
      <x:c r="C106" s="51" t="str">
        <x:v>空距/实高与容量报告</x:v>
      </x:c>
      <x:c r="D106" s="51" t="str">
        <x:v>Ullage/Sounding and Capacity Report</x:v>
      </x:c>
      <x:c r="E106" s="51" t="str">
        <x:v>记录每个舱的液位、修正、TOV、FW、GOV、温度、VCF和GSV等。</x:v>
      </x:c>
      <x:c r="F106" s="51" t="str">
        <x:v>直接</x:v>
      </x:c>
      <x:c r="G106" s="51" t="str">
        <x:v>单舱计算主数据链</x:v>
      </x:c>
      <x:c r="H106" s="51" t="str">
        <x:v>报告</x:v>
      </x:c>
      <x:c r="I106" s="51" t="str">
        <x:v>船舱</x:v>
      </x:c>
      <x:c r="J106" s="51" t="str">
        <x:v>装货/卸货/船对船</x:v>
      </x:c>
      <x:c r="K106" s="51" t="str">
        <x:v>现场+系统</x:v>
      </x:c>
      <x:c r="L106" s="51" t="str">
        <x:v>主报告</x:v>
      </x:c>
      <x:c r="M106" s="51" t="str">
        <x:v>应与游离水报告和OBQ/ROB报告联动</x:v>
      </x:c>
    </x:row>
    <x:row r="107">
      <x:c r="A107" s="51" t="n">
        <x:v>103</x:v>
      </x:c>
      <x:c r="B107" s="51" t="str">
        <x:v>报告与文件</x:v>
      </x:c>
      <x:c r="C107" s="51" t="str">
        <x:v>游离水报告</x:v>
      </x:c>
      <x:c r="D107" s="51" t="str">
        <x:v>Free Water Report</x:v>
      </x:c>
      <x:c r="E107" s="51" t="str">
        <x:v>记录油水界面、检测方法、乳化层和FW体积。</x:v>
      </x:c>
      <x:c r="F107" s="51" t="str">
        <x:v>直接</x:v>
      </x:c>
      <x:c r="G107" s="51" t="str">
        <x:v>向主报告提供FW</x:v>
      </x:c>
      <x:c r="H107" s="51" t="str">
        <x:v>报告</x:v>
      </x:c>
      <x:c r="I107" s="51" t="str">
        <x:v>船舱/岸罐/污油舱</x:v>
      </x:c>
      <x:c r="J107" s="51" t="str">
        <x:v>全部</x:v>
      </x:c>
      <x:c r="K107" s="51" t="str">
        <x:v>现场测量</x:v>
      </x:c>
      <x:c r="L107" s="51" t="str">
        <x:v>游离水报告</x:v>
      </x:c>
      <x:c r="M107" s="51" t="str">
        <x:v>不是独立的第二套货量</x:v>
      </x:c>
    </x:row>
    <x:row r="108">
      <x:c r="A108" s="51" t="n">
        <x:v>104</x:v>
      </x:c>
      <x:c r="B108" s="51" t="str">
        <x:v>报告与文件</x:v>
      </x:c>
      <x:c r="C108" s="51" t="str">
        <x:v>OBQ/ROB报告</x:v>
      </x:c>
      <x:c r="D108" s="51" t="str">
        <x:v>OBQ/ROB Report</x:v>
      </x:c>
      <x:c r="E108" s="51" t="str">
        <x:v>记录装货前或卸货后船上液体、非液体、FW和污油等小量物料。</x:v>
      </x:c>
      <x:c r="F108" s="51" t="str">
        <x:v>直接</x:v>
      </x:c>
      <x:c r="G108" s="51" t="str">
        <x:v>装货量/卸货量扣减项</x:v>
      </x:c>
      <x:c r="H108" s="51" t="str">
        <x:v>报告</x:v>
      </x:c>
      <x:c r="I108" s="51" t="str">
        <x:v>船舶</x:v>
      </x:c>
      <x:c r="J108" s="51" t="str">
        <x:v>装货/卸货</x:v>
      </x:c>
      <x:c r="K108" s="51" t="str">
        <x:v>现场+系统</x:v>
      </x:c>
      <x:c r="L108" s="51" t="str">
        <x:v>OBQ/ROB报告</x:v>
      </x:c>
      <x:c r="M108" s="51" t="str">
        <x:v>少量可能需要楔形计算</x:v>
      </x:c>
    </x:row>
    <x:row r="109">
      <x:c r="A109" s="51" t="n">
        <x:v>105</x:v>
      </x:c>
      <x:c r="B109" s="51" t="str">
        <x:v>报告与文件</x:v>
      </x:c>
      <x:c r="C109" s="51" t="str">
        <x:v>岸方数量报告</x:v>
      </x:c>
      <x:c r="D109" s="51" t="str">
        <x:v>Report of Shore Quantity</x:v>
      </x:c>
      <x:c r="E109" s="51" t="str">
        <x:v>记录岸罐作业前后液位、温度、FW、密度和数量计算。</x:v>
      </x:c>
      <x:c r="F109" s="51" t="str">
        <x:v>直接</x:v>
      </x:c>
      <x:c r="G109" s="51" t="str">
        <x:v>岸方转移量基础</x:v>
      </x:c>
      <x:c r="H109" s="51" t="str">
        <x:v>报告</x:v>
      </x:c>
      <x:c r="I109" s="51" t="str">
        <x:v>岸罐</x:v>
      </x:c>
      <x:c r="J109" s="51" t="str">
        <x:v>装货/卸货/罐对罐</x:v>
      </x:c>
      <x:c r="K109" s="51" t="str">
        <x:v>现场+系统</x:v>
      </x:c>
      <x:c r="L109" s="51" t="str">
        <x:v>岸罐报告</x:v>
      </x:c>
      <x:c r="M109" s="51" t="str">
        <x:v>需包含浮顶、静压力等适用修正</x:v>
      </x:c>
    </x:row>
    <x:row r="110">
      <x:c r="A110" s="51" t="n">
        <x:v>106</x:v>
      </x:c>
      <x:c r="B110" s="51" t="str">
        <x:v>报告与文件</x:v>
      </x:c>
      <x:c r="C110" s="51" t="str">
        <x:v>流量计数量报告</x:v>
      </x:c>
      <x:c r="D110" s="51" t="str">
        <x:v>Metered Quantity Report</x:v>
      </x:c>
      <x:c r="E110" s="51" t="str">
        <x:v>记录流量计起止读数、温压条件、流量计系数和标准数量。</x:v>
      </x:c>
      <x:c r="F110" s="51" t="str">
        <x:v>直接/条件</x:v>
      </x:c>
      <x:c r="G110" s="51" t="str">
        <x:v>动态计量结果</x:v>
      </x:c>
      <x:c r="H110" s="51" t="str">
        <x:v>报告</x:v>
      </x:c>
      <x:c r="I110" s="51" t="str">
        <x:v>流量计</x:v>
      </x:c>
      <x:c r="J110" s="51" t="str">
        <x:v>装货/卸货/罐对罐</x:v>
      </x:c>
      <x:c r="K110" s="51" t="str">
        <x:v>设备+系统</x:v>
      </x:c>
      <x:c r="L110" s="51" t="str">
        <x:v>流量计报告</x:v>
      </x:c>
      <x:c r="M110" s="51" t="str">
        <x:v>与岸罐量比较时统一基准</x:v>
      </x:c>
    </x:row>
    <x:row r="111">
      <x:c r="A111" s="51" t="n">
        <x:v>107</x:v>
      </x:c>
      <x:c r="B111" s="51" t="str">
        <x:v>报告与文件</x:v>
      </x:c>
      <x:c r="C111" s="51" t="str">
        <x:v>时间日志</x:v>
      </x:c>
      <x:c r="D111" s="51" t="str">
        <x:v>Time log</x:v>
      </x:c>
      <x:c r="E111" s="51" t="str">
        <x:v>记录作业关键事件及异常发生时间。</x:v>
      </x:c>
      <x:c r="F111" s="51" t="str">
        <x:v>间接</x:v>
      </x:c>
      <x:c r="G111" s="51" t="str">
        <x:v>支持差异解释</x:v>
      </x:c>
      <x:c r="H111" s="51" t="str">
        <x:v>报告</x:v>
      </x:c>
      <x:c r="I111" s="51" t="str">
        <x:v>作业</x:v>
      </x:c>
      <x:c r="J111" s="51" t="str">
        <x:v>全部</x:v>
      </x:c>
      <x:c r="K111" s="51" t="str">
        <x:v>人工记录</x:v>
      </x:c>
      <x:c r="L111" s="51" t="str">
        <x:v>时间日志</x:v>
      </x:c>
      <x:c r="M111" s="51" t="str">
        <x:v>换舱、停泵、压载、扫舱等应记录</x:v>
      </x:c>
    </x:row>
    <x:row r="112">
      <x:c r="A112" s="51" t="n">
        <x:v>108</x:v>
      </x:c>
      <x:c r="B112" s="51" t="str">
        <x:v>报告与文件</x:v>
      </x:c>
      <x:c r="C112" s="51" t="str">
        <x:v>抗议信</x:v>
      </x:c>
      <x:c r="D112" s="51" t="str">
        <x:v>Letter of Protest</x:v>
      </x:c>
      <x:c r="E112" s="51" t="str">
        <x:v>一方未遵守约定程序或出现可能影响数量/质量事项时形成的正式书面记录。</x:v>
      </x:c>
      <x:c r="F112" s="51" t="str">
        <x:v>否/控制</x:v>
      </x:c>
      <x:c r="G112" s="51" t="str">
        <x:v>不参与公式但影响争议处理</x:v>
      </x:c>
      <x:c r="H112" s="51" t="str">
        <x:v>报告</x:v>
      </x:c>
      <x:c r="I112" s="51" t="str">
        <x:v>作业</x:v>
      </x:c>
      <x:c r="J112" s="51" t="str">
        <x:v>全部</x:v>
      </x:c>
      <x:c r="K112" s="51" t="str">
        <x:v>检验人员</x:v>
      </x:c>
      <x:c r="L112" s="51" t="str">
        <x:v>抗议信</x:v>
      </x:c>
      <x:c r="M112" s="51" t="str">
        <x:v>不能用来替代原始测量和异常说明</x:v>
      </x:c>
    </x:row>
    <x:row r="113">
      <x:c r="A113" s="51" t="n">
        <x:v>109</x:v>
      </x:c>
      <x:c r="B113" s="51" t="str">
        <x:v>报告与文件</x:v>
      </x:c>
      <x:c r="C113" s="51" t="str">
        <x:v>表观差异通知书</x:v>
      </x:c>
      <x:c r="D113" s="51" t="str">
        <x:v>Notice of Apparent Discrepancy</x:v>
      </x:c>
      <x:c r="E113" s="51" t="str">
        <x:v>在数量存在未解决重大差异时发出的通知文件。</x:v>
      </x:c>
      <x:c r="F113" s="51" t="str">
        <x:v>否/控制</x:v>
      </x:c>
      <x:c r="G113" s="51" t="str">
        <x:v>触发复核和签署</x:v>
      </x:c>
      <x:c r="H113" s="51" t="str">
        <x:v>报告</x:v>
      </x:c>
      <x:c r="I113" s="51" t="str">
        <x:v>作业</x:v>
      </x:c>
      <x:c r="J113" s="51" t="str">
        <x:v>全部</x:v>
      </x:c>
      <x:c r="K113" s="51" t="str">
        <x:v>系统/检验人员</x:v>
      </x:c>
      <x:c r="L113" s="51" t="str">
        <x:v>差异通知</x:v>
      </x:c>
      <x:c r="M113" s="51" t="str">
        <x:v>应保存差异计算快照</x:v>
      </x:c>
    </x:row>
    <x:row r="114">
      <x:c r="A114" s="51" t="n">
        <x:v>110</x:v>
      </x:c>
      <x:c r="B114" s="51" t="str">
        <x:v>报告与文件</x:v>
      </x:c>
      <x:c r="C114" s="51" t="str">
        <x:v>货物数量选择证书</x:v>
      </x:c>
      <x:c r="D114" s="51" t="str">
        <x:v>Cargo Quantity Option Certificate</x:v>
      </x:c>
      <x:c r="E114" s="51" t="str">
        <x:v>船岸双方确认计划装载数量及允许范围的文件。</x:v>
      </x:c>
      <x:c r="F114" s="51" t="str">
        <x:v>间接</x:v>
      </x:c>
      <x:c r="G114" s="51" t="str">
        <x:v>提供计划量和容差基准</x:v>
      </x:c>
      <x:c r="H114" s="51" t="str">
        <x:v>报告</x:v>
      </x:c>
      <x:c r="I114" s="51" t="str">
        <x:v>作业</x:v>
      </x:c>
      <x:c r="J114" s="51" t="str">
        <x:v>装货</x:v>
      </x:c>
      <x:c r="K114" s="51" t="str">
        <x:v>双方确认</x:v>
      </x:c>
      <x:c r="L114" s="51" t="str">
        <x:v>首次会议</x:v>
      </x:c>
      <x:c r="M114" s="51" t="str">
        <x:v>计划量不等于实测货量</x:v>
      </x:c>
    </x:row>
    <x:row r="115">
      <x:c r="A115" s="51" t="n">
        <x:v>111</x:v>
      </x:c>
      <x:c r="B115" s="51" t="str">
        <x:v>标准与方法</x:v>
      </x:c>
      <x:c r="C115" s="51" t="str">
        <x:v>ASTM D1250 / API MPMS 11.1</x:v>
      </x:c>
      <x:c r="D115" s="51" t="str">
        <x:v>Petroleum Measurement Tables</x:v>
      </x:c>
      <x:c r="E115" s="51" t="str">
        <x:v>石油体积温度和压力修正的主要标准算法体系。</x:v>
      </x:c>
      <x:c r="F115" s="51" t="str">
        <x:v>直接/方法</x:v>
      </x:c>
      <x:c r="G115" s="51" t="str">
        <x:v>计算石油产品VCF/CTL/CTPL</x:v>
      </x:c>
      <x:c r="H115" s="51" t="str">
        <x:v>标准</x:v>
      </x:c>
      <x:c r="I115" s="51" t="str">
        <x:v>石油货物</x:v>
      </x:c>
      <x:c r="J115" s="51" t="str">
        <x:v>全部</x:v>
      </x:c>
      <x:c r="K115" s="51" t="str">
        <x:v>标准选择</x:v>
      </x:c>
      <x:c r="L115" s="51" t="str">
        <x:v>计算参数</x:v>
      </x:c>
      <x:c r="M115" s="51" t="str">
        <x:v>版本和货物类别必须锁定</x:v>
      </x:c>
    </x:row>
    <x:row r="116">
      <x:c r="A116" s="51" t="n">
        <x:v>112</x:v>
      </x:c>
      <x:c r="B116" s="51" t="str">
        <x:v>标准与方法</x:v>
      </x:c>
      <x:c r="C116" s="51" t="str">
        <x:v>T-6A</x:v>
      </x:c>
      <x:c r="D116" s="51" t="str">
        <x:v>Table 6A</x:v>
      </x:c>
      <x:c r="E116" s="51" t="str">
        <x:v>以API度表达密度、通常用于原油的60°F体积修正表路径。</x:v>
      </x:c>
      <x:c r="F116" s="51" t="str">
        <x:v>方法选择</x:v>
      </x:c>
      <x:c r="G116" s="51" t="str">
        <x:v>决定VCF算法路径</x:v>
      </x:c>
      <x:c r="H116" s="51" t="str">
        <x:v>标准表号</x:v>
      </x:c>
      <x:c r="I116" s="51" t="str">
        <x:v>原油</x:v>
      </x:c>
      <x:c r="J116" s="51" t="str">
        <x:v>全部</x:v>
      </x:c>
      <x:c r="K116" s="51" t="str">
        <x:v>货物映射</x:v>
      </x:c>
      <x:c r="L116" s="51" t="str">
        <x:v>计算参数</x:v>
      </x:c>
      <x:c r="M116" s="51" t="str">
        <x:v>具体适用范围以所选标准版本为准</x:v>
      </x:c>
    </x:row>
    <x:row r="117">
      <x:c r="A117" s="51" t="n">
        <x:v>113</x:v>
      </x:c>
      <x:c r="B117" s="51" t="str">
        <x:v>标准与方法</x:v>
      </x:c>
      <x:c r="C117" s="51" t="str">
        <x:v>T-6B</x:v>
      </x:c>
      <x:c r="D117" s="51" t="str">
        <x:v>Table 6B</x:v>
      </x:c>
      <x:c r="E117" s="51" t="str">
        <x:v>以API度表达密度、通常用于成品油的60°F体积修正表路径。</x:v>
      </x:c>
      <x:c r="F117" s="51" t="str">
        <x:v>方法选择</x:v>
      </x:c>
      <x:c r="G117" s="51" t="str">
        <x:v>决定VCF算法路径</x:v>
      </x:c>
      <x:c r="H117" s="51" t="str">
        <x:v>标准表号</x:v>
      </x:c>
      <x:c r="I117" s="51" t="str">
        <x:v>成品油</x:v>
      </x:c>
      <x:c r="J117" s="51" t="str">
        <x:v>全部</x:v>
      </x:c>
      <x:c r="K117" s="51" t="str">
        <x:v>货物映射</x:v>
      </x:c>
      <x:c r="L117" s="51" t="str">
        <x:v>计算参数</x:v>
      </x:c>
      <x:c r="M117" s="51" t="str">
        <x:v>不要仅按名称手选</x:v>
      </x:c>
    </x:row>
    <x:row r="118">
      <x:c r="A118" s="51" t="n">
        <x:v>114</x:v>
      </x:c>
      <x:c r="B118" s="51" t="str">
        <x:v>标准与方法</x:v>
      </x:c>
      <x:c r="C118" s="51" t="str">
        <x:v>T-6D</x:v>
      </x:c>
      <x:c r="D118" s="51" t="str">
        <x:v>Table 6D</x:v>
      </x:c>
      <x:c r="E118" s="51" t="str">
        <x:v>以API度表达、用于润滑油等D类产品的60°F修正路径。</x:v>
      </x:c>
      <x:c r="F118" s="51" t="str">
        <x:v>方法选择</x:v>
      </x:c>
      <x:c r="G118" s="51" t="str">
        <x:v>决定VCF算法路径</x:v>
      </x:c>
      <x:c r="H118" s="51" t="str">
        <x:v>标准表号</x:v>
      </x:c>
      <x:c r="I118" s="51" t="str">
        <x:v>润滑油</x:v>
      </x:c>
      <x:c r="J118" s="51" t="str">
        <x:v>全部</x:v>
      </x:c>
      <x:c r="K118" s="51" t="str">
        <x:v>货物映射</x:v>
      </x:c>
      <x:c r="L118" s="51" t="str">
        <x:v>计算参数</x:v>
      </x:c>
      <x:c r="M118" s="51" t="str">
        <x:v>须与货物分类一致</x:v>
      </x:c>
    </x:row>
    <x:row r="119">
      <x:c r="A119" s="51" t="n">
        <x:v>115</x:v>
      </x:c>
      <x:c r="B119" s="51" t="str">
        <x:v>标准与方法</x:v>
      </x:c>
      <x:c r="C119" s="51" t="str">
        <x:v>T-54A</x:v>
      </x:c>
      <x:c r="D119" s="51" t="str">
        <x:v>Table 54A</x:v>
      </x:c>
      <x:c r="E119" s="51" t="str">
        <x:v>以15°C密度表达、通常用于原油的15°C体积修正表路径。</x:v>
      </x:c>
      <x:c r="F119" s="51" t="str">
        <x:v>方法选择</x:v>
      </x:c>
      <x:c r="G119" s="51" t="str">
        <x:v>决定VCF算法路径</x:v>
      </x:c>
      <x:c r="H119" s="51" t="str">
        <x:v>标准表号</x:v>
      </x:c>
      <x:c r="I119" s="51" t="str">
        <x:v>原油</x:v>
      </x:c>
      <x:c r="J119" s="51" t="str">
        <x:v>全部</x:v>
      </x:c>
      <x:c r="K119" s="51" t="str">
        <x:v>货物映射</x:v>
      </x:c>
      <x:c r="L119" s="51" t="str">
        <x:v>计算参数</x:v>
      </x:c>
      <x:c r="M119" s="51" t="str">
        <x:v>T-54A输出VCF，不是额外乘数</x:v>
      </x:c>
    </x:row>
    <x:row r="120">
      <x:c r="A120" s="51" t="n">
        <x:v>116</x:v>
      </x:c>
      <x:c r="B120" s="51" t="str">
        <x:v>标准与方法</x:v>
      </x:c>
      <x:c r="C120" s="51" t="str">
        <x:v>T-54B</x:v>
      </x:c>
      <x:c r="D120" s="51" t="str">
        <x:v>Table 54B</x:v>
      </x:c>
      <x:c r="E120" s="51" t="str">
        <x:v>以15°C密度表达、通常用于成品油的15°C体积修正表路径。</x:v>
      </x:c>
      <x:c r="F120" s="51" t="str">
        <x:v>方法选择</x:v>
      </x:c>
      <x:c r="G120" s="51" t="str">
        <x:v>决定VCF算法路径</x:v>
      </x:c>
      <x:c r="H120" s="51" t="str">
        <x:v>标准表号</x:v>
      </x:c>
      <x:c r="I120" s="51" t="str">
        <x:v>成品油</x:v>
      </x:c>
      <x:c r="J120" s="51" t="str">
        <x:v>全部</x:v>
      </x:c>
      <x:c r="K120" s="51" t="str">
        <x:v>货物映射</x:v>
      </x:c>
      <x:c r="L120" s="51" t="str">
        <x:v>计算参数</x:v>
      </x:c>
      <x:c r="M120" s="51" t="str">
        <x:v>由货物类型和密度口径自动匹配</x:v>
      </x:c>
    </x:row>
    <x:row r="121">
      <x:c r="A121" s="51" t="n">
        <x:v>117</x:v>
      </x:c>
      <x:c r="B121" s="51" t="str">
        <x:v>标准与方法</x:v>
      </x:c>
      <x:c r="C121" s="51" t="str">
        <x:v>T-54D</x:v>
      </x:c>
      <x:c r="D121" s="51" t="str">
        <x:v>Table 54D</x:v>
      </x:c>
      <x:c r="E121" s="51" t="str">
        <x:v>以15°C密度表达、用于润滑油等D类产品的15°C修正路径。</x:v>
      </x:c>
      <x:c r="F121" s="51" t="str">
        <x:v>方法选择</x:v>
      </x:c>
      <x:c r="G121" s="51" t="str">
        <x:v>决定VCF算法路径</x:v>
      </x:c>
      <x:c r="H121" s="51" t="str">
        <x:v>标准表号</x:v>
      </x:c>
      <x:c r="I121" s="51" t="str">
        <x:v>润滑油</x:v>
      </x:c>
      <x:c r="J121" s="51" t="str">
        <x:v>全部</x:v>
      </x:c>
      <x:c r="K121" s="51" t="str">
        <x:v>货物映射</x:v>
      </x:c>
      <x:c r="L121" s="51" t="str">
        <x:v>计算参数</x:v>
      </x:c>
      <x:c r="M121" s="51" t="str">
        <x:v>确认版本和密度范围</x:v>
      </x:c>
    </x:row>
    <x:row r="122">
      <x:c r="A122" s="51" t="n">
        <x:v>118</x:v>
      </x:c>
      <x:c r="B122" s="51" t="str">
        <x:v>标准与方法</x:v>
      </x:c>
      <x:c r="C122" s="51" t="str">
        <x:v>T-24A/T-24B/T-24D</x:v>
      </x:c>
      <x:c r="D122" s="51" t="str">
        <x:v>Tables 24 series</x:v>
      </x:c>
      <x:c r="E122" s="51" t="str">
        <x:v>以相对密度表达的60°F体积修正表系列。</x:v>
      </x:c>
      <x:c r="F122" s="51" t="str">
        <x:v>方法选择</x:v>
      </x:c>
      <x:c r="G122" s="51" t="str">
        <x:v>决定VCF算法路径</x:v>
      </x:c>
      <x:c r="H122" s="51" t="str">
        <x:v>标准表号</x:v>
      </x:c>
      <x:c r="I122" s="51" t="str">
        <x:v>石油货物</x:v>
      </x:c>
      <x:c r="J122" s="51" t="str">
        <x:v>全部</x:v>
      </x:c>
      <x:c r="K122" s="51" t="str">
        <x:v>货物映射</x:v>
      </x:c>
      <x:c r="L122" s="51" t="str">
        <x:v>计算参数</x:v>
      </x:c>
      <x:c r="M122" s="51" t="str">
        <x:v>相对密度基准必须明确</x:v>
      </x:c>
    </x:row>
    <x:row r="123">
      <x:c r="A123" s="51" t="n">
        <x:v>119</x:v>
      </x:c>
      <x:c r="B123" s="51" t="str">
        <x:v>标准与方法</x:v>
      </x:c>
      <x:c r="C123" s="51" t="str">
        <x:v>T-60A/T-60B/T-60D</x:v>
      </x:c>
      <x:c r="D123" s="51" t="str">
        <x:v>Tables 60 series</x:v>
      </x:c>
      <x:c r="E123" s="51" t="str">
        <x:v>以20°C密度表达的体积修正表系列。</x:v>
      </x:c>
      <x:c r="F123" s="51" t="str">
        <x:v>方法选择</x:v>
      </x:c>
      <x:c r="G123" s="51" t="str">
        <x:v>决定VCF算法路径</x:v>
      </x:c>
      <x:c r="H123" s="51" t="str">
        <x:v>标准表号</x:v>
      </x:c>
      <x:c r="I123" s="51" t="str">
        <x:v>石油货物</x:v>
      </x:c>
      <x:c r="J123" s="51" t="str">
        <x:v>全部</x:v>
      </x:c>
      <x:c r="K123" s="51" t="str">
        <x:v>货物映射</x:v>
      </x:c>
      <x:c r="L123" s="51" t="str">
        <x:v>计算参数</x:v>
      </x:c>
      <x:c r="M123" s="51" t="str">
        <x:v>仅在20°C基准业务中使用</x:v>
      </x:c>
    </x:row>
    <x:row r="124">
      <x:c r="A124" s="51" t="n">
        <x:v>120</x:v>
      </x:c>
      <x:c r="B124" s="51" t="str">
        <x:v>标准与方法</x:v>
      </x:c>
      <x:c r="C124" s="51" t="str">
        <x:v>ASTM D1555</x:v>
      </x:c>
      <x:c r="D124" s="51" t="str">
        <x:v>Density and volume correction for industrial aromatic hydrocarbons</x:v>
      </x:c>
      <x:c r="E124" s="51" t="str">
        <x:v>芳香烃等化学品密度和体积修正的专用方法之一。</x:v>
      </x:c>
      <x:c r="F124" s="51" t="str">
        <x:v>直接/方法</x:v>
      </x:c>
      <x:c r="G124" s="51" t="str">
        <x:v>按标准计算修正</x:v>
      </x:c>
      <x:c r="H124" s="51" t="str">
        <x:v>标准</x:v>
      </x:c>
      <x:c r="I124" s="51" t="str">
        <x:v>适用芳香烃</x:v>
      </x:c>
      <x:c r="J124" s="51" t="str">
        <x:v>全部</x:v>
      </x:c>
      <x:c r="K124" s="51" t="str">
        <x:v>货物类型映射</x:v>
      </x:c>
      <x:c r="L124" s="51" t="str">
        <x:v>计算参数</x:v>
      </x:c>
      <x:c r="M124" s="51" t="str">
        <x:v>适用货物和版本需客户确认</x:v>
      </x:c>
    </x:row>
    <x:row r="125">
      <x:c r="A125" s="51" t="n">
        <x:v>121</x:v>
      </x:c>
      <x:c r="B125" s="51" t="str">
        <x:v>标准与方法</x:v>
      </x:c>
      <x:c r="C125" s="51" t="str">
        <x:v>ASTM D4311/D4311M</x:v>
      </x:c>
      <x:c r="D125" s="51" t="str">
        <x:v>Volume correction for tar and bituminous materials</x:v>
      </x:c>
      <x:c r="E125" s="51" t="str">
        <x:v>焦油、沥青类材料体积修正的专用方法。</x:v>
      </x:c>
      <x:c r="F125" s="51" t="str">
        <x:v>直接/方法</x:v>
      </x:c>
      <x:c r="G125" s="51" t="str">
        <x:v>按标准计算温度修正</x:v>
      </x:c>
      <x:c r="H125" s="51" t="str">
        <x:v>标准</x:v>
      </x:c>
      <x:c r="I125" s="51" t="str">
        <x:v>焦油/沥青</x:v>
      </x:c>
      <x:c r="J125" s="51" t="str">
        <x:v>全部</x:v>
      </x:c>
      <x:c r="K125" s="51" t="str">
        <x:v>货物类型映射</x:v>
      </x:c>
      <x:c r="L125" s="51" t="str">
        <x:v>计算参数</x:v>
      </x:c>
      <x:c r="M125" s="51" t="str">
        <x:v>不可直接套用普通石油表</x:v>
      </x:c>
    </x:row>
    <x:row r="126">
      <x:c r="A126" s="51" t="n">
        <x:v>122</x:v>
      </x:c>
      <x:c r="B126" s="51" t="str">
        <x:v>标准与方法</x:v>
      </x:c>
      <x:c r="C126" s="51" t="str">
        <x:v>A/B/D类</x:v>
      </x:c>
      <x:c r="D126" s="51" t="str">
        <x:v>Commodity group A/B/D</x:v>
      </x:c>
      <x:c r="E126" s="51" t="str">
        <x:v>API/ASTM石油体积修正中的货物类别映射，常对应原油、成品油和润滑油。</x:v>
      </x:c>
      <x:c r="F126" s="51" t="str">
        <x:v>方法选择</x:v>
      </x:c>
      <x:c r="G126" s="51" t="str">
        <x:v>选择正确VCF参数组</x:v>
      </x:c>
      <x:c r="H126" s="51" t="str">
        <x:v>货物主数据</x:v>
      </x:c>
      <x:c r="I126" s="51" t="str">
        <x:v>石油货物</x:v>
      </x:c>
      <x:c r="J126" s="51" t="str">
        <x:v>全部</x:v>
      </x:c>
      <x:c r="K126" s="51" t="str">
        <x:v>货物类型</x:v>
      </x:c>
      <x:c r="L126" s="51" t="str">
        <x:v>计算参数</x:v>
      </x:c>
      <x:c r="M126" s="51" t="str">
        <x:v>应自动映射，不建议用户自由选择</x:v>
      </x:c>
    </x:row>
    <x:row r="127">
      <x:c r="A127" s="51" t="n">
        <x:v>123</x:v>
      </x:c>
      <x:c r="B127" s="51" t="str">
        <x:v>单位</x:v>
      </x:c>
      <x:c r="C127" s="51" t="str">
        <x:v>立方米@15°C</x:v>
      </x:c>
      <x:c r="D127" s="51" t="str">
        <x:v>m³ at 15°C</x:v>
      </x:c>
      <x:c r="E127" s="51" t="str">
        <x:v>换算至15°C标准温度的体积单位表达。</x:v>
      </x:c>
      <x:c r="F127" s="51" t="str">
        <x:v>输出</x:v>
      </x:c>
      <x:c r="G127" s="51" t="str">
        <x:v>展示GSV或NSV</x:v>
      </x:c>
      <x:c r="H127" s="51" t="str">
        <x:v>输出单位</x:v>
      </x:c>
      <x:c r="I127" s="51" t="str">
        <x:v>货物</x:v>
      </x:c>
      <x:c r="J127" s="51" t="str">
        <x:v>全部</x:v>
      </x:c>
      <x:c r="K127" s="51" t="str">
        <x:v>系统换算</x:v>
      </x:c>
      <x:c r="L127" s="51" t="str">
        <x:v>数量换算</x:v>
      </x:c>
      <x:c r="M127" s="51" t="str">
        <x:v>必须标明毛量或净量</x:v>
      </x:c>
    </x:row>
    <x:row r="128">
      <x:c r="A128" s="51" t="n">
        <x:v>124</x:v>
      </x:c>
      <x:c r="B128" s="51" t="str">
        <x:v>单位</x:v>
      </x:c>
      <x:c r="C128" s="51" t="str">
        <x:v>美制桶@60°F</x:v>
      </x:c>
      <x:c r="D128" s="51" t="str">
        <x:v>US bbl at 60°F</x:v>
      </x:c>
      <x:c r="E128" s="51" t="str">
        <x:v>换算至60°F基准的美制桶体积表达。</x:v>
      </x:c>
      <x:c r="F128" s="51" t="str">
        <x:v>输出</x:v>
      </x:c>
      <x:c r="G128" s="51" t="str">
        <x:v>展示标准体积</x:v>
      </x:c>
      <x:c r="H128" s="51" t="str">
        <x:v>输出单位</x:v>
      </x:c>
      <x:c r="I128" s="51" t="str">
        <x:v>货物</x:v>
      </x:c>
      <x:c r="J128" s="51" t="str">
        <x:v>全部</x:v>
      </x:c>
      <x:c r="K128" s="51" t="str">
        <x:v>系统换算</x:v>
      </x:c>
      <x:c r="L128" s="51" t="str">
        <x:v>数量换算</x:v>
      </x:c>
      <x:c r="M128" s="51" t="str">
        <x:v>不能把观测桶数直接当标准桶数</x:v>
      </x:c>
    </x:row>
    <x:row r="129">
      <x:c r="A129" s="51" t="n">
        <x:v>125</x:v>
      </x:c>
      <x:c r="B129" s="51" t="str">
        <x:v>单位</x:v>
      </x:c>
      <x:c r="C129" s="51" t="str">
        <x:v>观测温度下美制桶</x:v>
      </x:c>
      <x:c r="D129" s="51" t="str">
        <x:v>US barrels observed</x:v>
      </x:c>
      <x:c r="E129" s="51" t="str">
        <x:v>按观测温度体积换算的美制桶数量。</x:v>
      </x:c>
      <x:c r="F129" s="51" t="str">
        <x:v>输出</x:v>
      </x:c>
      <x:c r="G129" s="51" t="str">
        <x:v>展示GOV/TOV口径体积</x:v>
      </x:c>
      <x:c r="H129" s="51" t="str">
        <x:v>输出单位</x:v>
      </x:c>
      <x:c r="I129" s="51" t="str">
        <x:v>货物</x:v>
      </x:c>
      <x:c r="J129" s="51" t="str">
        <x:v>全部</x:v>
      </x:c>
      <x:c r="K129" s="51" t="str">
        <x:v>系统换算</x:v>
      </x:c>
      <x:c r="L129" s="51" t="str">
        <x:v>数量换算</x:v>
      </x:c>
      <x:c r="M129" s="51" t="str">
        <x:v>与US bbl@60°F不同</x:v>
      </x:c>
    </x:row>
    <x:row r="130">
      <x:c r="A130" s="51" t="n">
        <x:v>126</x:v>
      </x:c>
      <x:c r="B130" s="51" t="str">
        <x:v>单位</x:v>
      </x:c>
      <x:c r="C130" s="51" t="str">
        <x:v>公吨（真空中）</x:v>
      </x:c>
      <x:c r="D130" s="51" t="str">
        <x:v>Metric tonnes in vacuo</x:v>
      </x:c>
      <x:c r="E130" s="51" t="str">
        <x:v>按真空质量口径表示的公吨。</x:v>
      </x:c>
      <x:c r="F130" s="51" t="str">
        <x:v>输出</x:v>
      </x:c>
      <x:c r="G130" s="51" t="str">
        <x:v>展示GSM/NSM</x:v>
      </x:c>
      <x:c r="H130" s="51" t="str">
        <x:v>输出单位</x:v>
      </x:c>
      <x:c r="I130" s="51" t="str">
        <x:v>货物</x:v>
      </x:c>
      <x:c r="J130" s="51" t="str">
        <x:v>全部</x:v>
      </x:c>
      <x:c r="K130" s="51" t="str">
        <x:v>系统换算</x:v>
      </x:c>
      <x:c r="L130" s="51" t="str">
        <x:v>数量换算</x:v>
      </x:c>
      <x:c r="M130" s="51" t="str">
        <x:v>1 MT=1000 kg</x:v>
      </x:c>
    </x:row>
    <x:row r="131">
      <x:c r="A131" s="51" t="n">
        <x:v>127</x:v>
      </x:c>
      <x:c r="B131" s="51" t="str">
        <x:v>单位</x:v>
      </x:c>
      <x:c r="C131" s="51" t="str">
        <x:v>公吨（空气中）</x:v>
      </x:c>
      <x:c r="D131" s="51" t="str">
        <x:v>Metric tonnes in air</x:v>
      </x:c>
      <x:c r="E131" s="51" t="str">
        <x:v>考虑空气浮力后的商业重量公吨。</x:v>
      </x:c>
      <x:c r="F131" s="51" t="str">
        <x:v>输出</x:v>
      </x:c>
      <x:c r="G131" s="51" t="str">
        <x:v>展示GSW/NSW</x:v>
      </x:c>
      <x:c r="H131" s="51" t="str">
        <x:v>输出单位</x:v>
      </x:c>
      <x:c r="I131" s="51" t="str">
        <x:v>货物</x:v>
      </x:c>
      <x:c r="J131" s="51" t="str">
        <x:v>全部</x:v>
      </x:c>
      <x:c r="K131" s="51" t="str">
        <x:v>系统换算</x:v>
      </x:c>
      <x:c r="L131" s="51" t="str">
        <x:v>数量换算</x:v>
      </x:c>
      <x:c r="M131" s="51" t="str">
        <x:v>不是简单改变质量单位</x:v>
      </x:c>
    </x:row>
    <x:row r="132">
      <x:c r="A132" s="51" t="n">
        <x:v>128</x:v>
      </x:c>
      <x:c r="B132" s="51" t="str">
        <x:v>单位</x:v>
      </x:c>
      <x:c r="C132" s="51" t="str">
        <x:v>长吨（空气中）</x:v>
      </x:c>
      <x:c r="D132" s="51" t="str">
        <x:v>Long tons in air</x:v>
      </x:c>
      <x:c r="E132" s="51" t="str">
        <x:v>空气中重量以英制长吨表示。</x:v>
      </x:c>
      <x:c r="F132" s="51" t="str">
        <x:v>输出</x:v>
      </x:c>
      <x:c r="G132" s="51" t="str">
        <x:v>展示商业重量</x:v>
      </x:c>
      <x:c r="H132" s="51" t="str">
        <x:v>输出单位</x:v>
      </x:c>
      <x:c r="I132" s="51" t="str">
        <x:v>货物</x:v>
      </x:c>
      <x:c r="J132" s="51" t="str">
        <x:v>全部</x:v>
      </x:c>
      <x:c r="K132" s="51" t="str">
        <x:v>系统换算</x:v>
      </x:c>
      <x:c r="L132" s="51" t="str">
        <x:v>数量换算</x:v>
      </x:c>
      <x:c r="M132" s="51" t="str">
        <x:v>1长吨=2240 lb；先统一重量口径</x:v>
      </x:c>
    </x:row>
    <x:row r="133">
      <x:c r="A133" s="51" t="n">
        <x:v>129</x:v>
      </x:c>
      <x:c r="B133" s="51" t="str">
        <x:v>数据治理</x:v>
      </x:c>
      <x:c r="C133" s="51" t="str">
        <x:v>人工输入</x:v>
      </x:c>
      <x:c r="D133" s="51" t="str">
        <x:v>Manual input</x:v>
      </x:c>
      <x:c r="E133" s="51" t="str">
        <x:v>由现场或业务人员直接录入的原始数据。</x:v>
      </x:c>
      <x:c r="F133" s="51" t="str">
        <x:v>可能</x:v>
      </x:c>
      <x:c r="G133" s="51" t="str">
        <x:v>作为计算输入</x:v>
      </x:c>
      <x:c r="H133" s="51" t="str">
        <x:v>数据状态</x:v>
      </x:c>
      <x:c r="I133" s="51" t="str">
        <x:v>全部</x:v>
      </x:c>
      <x:c r="J133" s="51" t="str">
        <x:v>全部</x:v>
      </x:c>
      <x:c r="K133" s="51" t="str">
        <x:v>人员</x:v>
      </x:c>
      <x:c r="L133" s="51" t="str">
        <x:v>原始记录</x:v>
      </x:c>
      <x:c r="M133" s="51" t="str">
        <x:v>必须保存录入人、时间和单位</x:v>
      </x:c>
    </x:row>
    <x:row r="134">
      <x:c r="A134" s="51" t="n">
        <x:v>130</x:v>
      </x:c>
      <x:c r="B134" s="51" t="str">
        <x:v>数据治理</x:v>
      </x:c>
      <x:c r="C134" s="51" t="str">
        <x:v>设备导入</x:v>
      </x:c>
      <x:c r="D134" s="51" t="str">
        <x:v>Instrument import</x:v>
      </x:c>
      <x:c r="E134" s="51" t="str">
        <x:v>由ATG、UTI、流量计等设备自动带入的数据。</x:v>
      </x:c>
      <x:c r="F134" s="51" t="str">
        <x:v>可能</x:v>
      </x:c>
      <x:c r="G134" s="51" t="str">
        <x:v>作为计算输入</x:v>
      </x:c>
      <x:c r="H134" s="51" t="str">
        <x:v>数据状态</x:v>
      </x:c>
      <x:c r="I134" s="51" t="str">
        <x:v>全部</x:v>
      </x:c>
      <x:c r="J134" s="51" t="str">
        <x:v>全部</x:v>
      </x:c>
      <x:c r="K134" s="51" t="str">
        <x:v>设备接口</x:v>
      </x:c>
      <x:c r="L134" s="51" t="str">
        <x:v>原始记录</x:v>
      </x:c>
      <x:c r="M134" s="51" t="str">
        <x:v>保存设备编号和原始读数</x:v>
      </x:c>
    </x:row>
    <x:row r="135">
      <x:c r="A135" s="51" t="n">
        <x:v>131</x:v>
      </x:c>
      <x:c r="B135" s="51" t="str">
        <x:v>数据治理</x:v>
      </x:c>
      <x:c r="C135" s="51" t="str">
        <x:v>查表值</x:v>
      </x:c>
      <x:c r="D135" s="51" t="str">
        <x:v>Lookup value</x:v>
      </x:c>
      <x:c r="E135" s="51" t="str">
        <x:v>由舱容表、罐容表或修正表查得的数值。</x:v>
      </x:c>
      <x:c r="F135" s="51" t="str">
        <x:v>直接</x:v>
      </x:c>
      <x:c r="G135" s="51" t="str">
        <x:v>形成体积或修正</x:v>
      </x:c>
      <x:c r="H135" s="51" t="str">
        <x:v>数据状态</x:v>
      </x:c>
      <x:c r="I135" s="51" t="str">
        <x:v>全部</x:v>
      </x:c>
      <x:c r="J135" s="51" t="str">
        <x:v>全部</x:v>
      </x:c>
      <x:c r="K135" s="51" t="str">
        <x:v>校准表</x:v>
      </x:c>
      <x:c r="L135" s="51" t="str">
        <x:v>计算明细</x:v>
      </x:c>
      <x:c r="M135" s="51" t="str">
        <x:v>保存表名、版本、区间和插值方式</x:v>
      </x:c>
    </x:row>
    <x:row r="136">
      <x:c r="A136" s="51" t="n">
        <x:v>132</x:v>
      </x:c>
      <x:c r="B136" s="51" t="str">
        <x:v>数据治理</x:v>
      </x:c>
      <x:c r="C136" s="51" t="str">
        <x:v>系统派生值</x:v>
      </x:c>
      <x:c r="D136" s="51" t="str">
        <x:v>Calculated value</x:v>
      </x:c>
      <x:c r="E136" s="51" t="str">
        <x:v>由公式和已确认输入自动计算得到的数值。</x:v>
      </x:c>
      <x:c r="F136" s="51" t="str">
        <x:v>直接</x:v>
      </x:c>
      <x:c r="G136" s="51" t="str">
        <x:v>形成最终结果</x:v>
      </x:c>
      <x:c r="H136" s="51" t="str">
        <x:v>数据状态</x:v>
      </x:c>
      <x:c r="I136" s="51" t="str">
        <x:v>全部</x:v>
      </x:c>
      <x:c r="J136" s="51" t="str">
        <x:v>全部</x:v>
      </x:c>
      <x:c r="K136" s="51" t="str">
        <x:v>系统公式</x:v>
      </x:c>
      <x:c r="L136" s="51" t="str">
        <x:v>计算明细</x:v>
      </x:c>
      <x:c r="M136" s="51" t="str">
        <x:v>应保存未舍入值、展示值和公式版本</x:v>
      </x:c>
    </x:row>
    <x:row r="137">
      <x:c r="A137" s="51" t="n">
        <x:v>133</x:v>
      </x:c>
      <x:c r="B137" s="51" t="str">
        <x:v>数据治理</x:v>
      </x:c>
      <x:c r="C137" s="51" t="str">
        <x:v>不适用</x:v>
      </x:c>
      <x:c r="D137" s="51" t="str">
        <x:v>Not applicable / N/A</x:v>
      </x:c>
      <x:c r="E137" s="51" t="str">
        <x:v>该字段在当前对象或场景下没有业务意义。</x:v>
      </x:c>
      <x:c r="F137" s="51" t="str">
        <x:v>否</x:v>
      </x:c>
      <x:c r="G137" s="51" t="str">
        <x:v>不进入计算</x:v>
      </x:c>
      <x:c r="H137" s="51" t="str">
        <x:v>数据状态</x:v>
      </x:c>
      <x:c r="I137" s="51" t="str">
        <x:v>全部</x:v>
      </x:c>
      <x:c r="J137" s="51" t="str">
        <x:v>全部</x:v>
      </x:c>
      <x:c r="K137" s="51" t="str">
        <x:v>规则判断</x:v>
      </x:c>
      <x:c r="L137" s="51" t="str">
        <x:v>全部</x:v>
      </x:c>
      <x:c r="M137" s="51" t="str">
        <x:v>必须与未测量和数值0区分</x:v>
      </x:c>
    </x:row>
    <x:row r="138">
      <x:c r="A138" s="53" t="n">
        <x:v>134</x:v>
      </x:c>
      <x:c r="B138" s="53" t="str">
        <x:v>数据治理</x:v>
      </x:c>
      <x:c r="C138" s="53" t="str">
        <x:v>待业务确认</x:v>
      </x:c>
      <x:c r="D138" s="53" t="str">
        <x:v>Pending business confirmation</x:v>
      </x:c>
      <x:c r="E138" s="53" t="str">
        <x:v>缺少标准、系数、口径或边界，无法安全自动计算的状态。</x:v>
      </x:c>
      <x:c r="F138" s="53" t="str">
        <x:v>阻断</x:v>
      </x:c>
      <x:c r="G138" s="53" t="str">
        <x:v>阻止最终计算或报告</x:v>
      </x:c>
      <x:c r="H138" s="53" t="str">
        <x:v>数据状态</x:v>
      </x:c>
      <x:c r="I138" s="53" t="str">
        <x:v>全部</x:v>
      </x:c>
      <x:c r="J138" s="53" t="str">
        <x:v>全部</x:v>
      </x:c>
      <x:c r="K138" s="53" t="str">
        <x:v>系统校验</x:v>
      </x:c>
      <x:c r="L138" s="53" t="str">
        <x:v>异常/审批</x:v>
      </x:c>
      <x:c r="M138" s="53" t="str">
        <x:v>不得自动填0或默认系数</x:v>
      </x:c>
    </x:row>
  </x:sheetData>
  <x:mergeCells>
    <x:mergeCell ref="A1:M1"/>
    <x:mergeCell ref="A2:M2"/>
  </x:mergeCells>
  <x:conditionalFormatting sqref="F5:F138">
    <x:cfRule type="containsText" dxfId="0" priority="1" operator="containsText" text="直接"/>
    <x:cfRule type="containsText" dxfId="1" priority="2" operator="containsText" text="条件"/>
    <x:cfRule type="containsText" dxfId="2" priority="3" operator="containsText" text="间接"/>
    <x:cfRule type="containsText" dxfId="3" priority="4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f509a367e1da4b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48" hidden="0" customWidth="1"/>
    <x:col min="5" max="5" width="24" hidden="0" customWidth="1"/>
    <x:col min="6" max="6" width="16" hidden="0" customWidth="1"/>
    <x:col min="7" max="7" width="10" hidden="0" customWidth="1"/>
    <x:col min="8" max="8" width="10" hidden="0" customWidth="1"/>
    <x:col min="9" max="9" width="24" hidden="0" customWidth="1"/>
    <x:col min="10" max="10" width="42" hidden="0" customWidth="1"/>
  </x:cols>
  <x:sheetData>
    <x:row r="1" ht="38" customHeight="1">
      <x:c r="A1" s="56" t="str">
        <x:v>容量计重计算链路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30" customHeight="1">
      <x:c r="A2" s="93" t="str">
        <x:v>每一步标明输入、公式/方法、输出、参与方式和常见错误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</x:row>
    <x:row r="4" ht="34" customHeight="1">
      <x:c r="A4" s="116" t="str">
        <x:v>步骤</x:v>
      </x:c>
      <x:c r="B4" s="117" t="str">
        <x:v>处理环节</x:v>
      </x:c>
      <x:c r="C4" s="117" t="str">
        <x:v>主要输入</x:v>
      </x:c>
      <x:c r="D4" s="117" t="str">
        <x:v>公式/方法</x:v>
      </x:c>
      <x:c r="E4" s="117" t="str">
        <x:v>主要输出</x:v>
      </x:c>
      <x:c r="F4" s="117" t="str">
        <x:v>参与方式</x:v>
      </x:c>
      <x:c r="G4" s="117" t="str">
        <x:v>船舶</x:v>
      </x:c>
      <x:c r="H4" s="117" t="str">
        <x:v>岸罐</x:v>
      </x:c>
      <x:c r="I4" s="117" t="str">
        <x:v>适用场景</x:v>
      </x:c>
      <x:c r="J4" s="118" t="str">
        <x:v>风险与校验</x:v>
      </x:c>
    </x:row>
    <x:row r="5">
      <x:c r="A5" s="49" t="n">
        <x:v>1</x:v>
      </x:c>
      <x:c r="B5" s="49" t="str">
        <x:v>确定计算参数</x:v>
      </x:c>
      <x:c r="C5" s="49" t="str">
        <x:v>货物类型、标准温度、密度口径、VCF标准/版本、毛净量、输出单位</x:v>
      </x:c>
      <x:c r="D5" s="49" t="str">
        <x:v>形成作业参数快照</x:v>
      </x:c>
      <x:c r="E5" s="49" t="str">
        <x:v>计算参数版本</x:v>
      </x:c>
      <x:c r="F5" s="49" t="str">
        <x:v>控制</x:v>
      </x:c>
      <x:c r="G5" s="49" t="str">
        <x:v>是</x:v>
      </x:c>
      <x:c r="H5" s="49" t="str">
        <x:v>是</x:v>
      </x:c>
      <x:c r="I5" s="49" t="str">
        <x:v>全部</x:v>
      </x:c>
      <x:c r="J5" s="49" t="str">
        <x:v>参数变更必须触发重算并保留旧版本</x:v>
      </x:c>
    </x:row>
    <x:row r="6">
      <x:c r="A6" s="51" t="n">
        <x:v>2</x:v>
      </x:c>
      <x:c r="B6" s="51" t="str">
        <x:v>测量液位</x:v>
      </x:c>
      <x:c r="C6" s="51" t="str">
        <x:v>空距或实高、参考高度、参考点</x:v>
      </x:c>
      <x:c r="D6" s="51" t="str">
        <x:v>多次测量按规定取值</x:v>
      </x:c>
      <x:c r="E6" s="51" t="str">
        <x:v>观测液位</x:v>
      </x:c>
      <x:c r="F6" s="51" t="str">
        <x:v>直接</x:v>
      </x:c>
      <x:c r="G6" s="51" t="str">
        <x:v>是</x:v>
      </x:c>
      <x:c r="H6" s="51" t="str">
        <x:v>是</x:v>
      </x:c>
      <x:c r="I6" s="51" t="str">
        <x:v>全部</x:v>
      </x:c>
      <x:c r="J6" s="51" t="str">
        <x:v>空距和实高不可混用</x:v>
      </x:c>
    </x:row>
    <x:row r="7">
      <x:c r="A7" s="51" t="n">
        <x:v>3</x:v>
      </x:c>
      <x:c r="B7" s="51" t="str">
        <x:v>测量船舶姿态</x:v>
      </x:c>
      <x:c r="C7" s="51" t="str">
        <x:v>艏艉吃水、横倾</x:v>
      </x:c>
      <x:c r="D7" s="51" t="str">
        <x:v>纵倾=艉吃水-艏吃水（方向按项目定义）</x:v>
      </x:c>
      <x:c r="E7" s="51" t="str">
        <x:v>纵倾/横倾</x:v>
      </x:c>
      <x:c r="F7" s="51" t="str">
        <x:v>间接/条件</x:v>
      </x:c>
      <x:c r="G7" s="51" t="str">
        <x:v>是</x:v>
      </x:c>
      <x:c r="H7" s="51" t="str">
        <x:v>否</x:v>
      </x:c>
      <x:c r="I7" s="51" t="str">
        <x:v>船舶</x:v>
      </x:c>
      <x:c r="J7" s="51" t="str">
        <x:v>正负方向和单位必须一致</x:v>
      </x:c>
    </x:row>
    <x:row r="8">
      <x:c r="A8" s="51" t="n">
        <x:v>4</x:v>
      </x:c>
      <x:c r="B8" s="51" t="str">
        <x:v>液位修正</x:v>
      </x:c>
      <x:c r="C8" s="51" t="str">
        <x:v>观测液位、仪器修正、纵倾/横倾修正</x:v>
      </x:c>
      <x:c r="D8" s="51" t="str">
        <x:v>修正液位=观测值±适用修正</x:v>
      </x:c>
      <x:c r="E8" s="51" t="str">
        <x:v>修正液位</x:v>
      </x:c>
      <x:c r="F8" s="51" t="str">
        <x:v>直接/条件</x:v>
      </x:c>
      <x:c r="G8" s="51" t="str">
        <x:v>是</x:v>
      </x:c>
      <x:c r="H8" s="51" t="str">
        <x:v>是</x:v>
      </x:c>
      <x:c r="I8" s="51" t="str">
        <x:v>全部</x:v>
      </x:c>
      <x:c r="J8" s="51" t="str">
        <x:v>所有修正量须使用同一长度单位</x:v>
      </x:c>
    </x:row>
    <x:row r="9">
      <x:c r="A9" s="51" t="n">
        <x:v>5</x:v>
      </x:c>
      <x:c r="B9" s="51" t="str">
        <x:v>判断楔形条件</x:v>
      </x:c>
      <x:c r="C9" s="51" t="str">
        <x:v>液体是否接触全部舱壁、纵倾、液位</x:v>
      </x:c>
      <x:c r="D9" s="51" t="str">
        <x:v>未接触全部舱壁→楔形表/公式</x:v>
      </x:c>
      <x:c r="E9" s="51" t="str">
        <x:v>小量体积</x:v>
      </x:c>
      <x:c r="F9" s="51" t="str">
        <x:v>条件</x:v>
      </x:c>
      <x:c r="G9" s="51" t="str">
        <x:v>是</x:v>
      </x:c>
      <x:c r="H9" s="51" t="str">
        <x:v>否</x:v>
      </x:c>
      <x:c r="I9" s="51" t="str">
        <x:v>OBQ/ROB/FW</x:v>
      </x:c>
      <x:c r="J9" s="51" t="str">
        <x:v>不要与普通纵倾修正重复</x:v>
      </x:c>
    </x:row>
    <x:row r="10">
      <x:c r="A10" s="51" t="n">
        <x:v>6</x:v>
      </x:c>
      <x:c r="B10" s="51" t="str">
        <x:v>查总液体体积</x:v>
      </x:c>
      <x:c r="C10" s="51" t="str">
        <x:v>修正液位、舱容表/罐容表</x:v>
      </x:c>
      <x:c r="D10" s="51" t="str">
        <x:v>查表并按规则插值</x:v>
      </x:c>
      <x:c r="E10" s="51" t="str">
        <x:v>TOV</x:v>
      </x:c>
      <x:c r="F10" s="51" t="str">
        <x:v>直接</x:v>
      </x:c>
      <x:c r="G10" s="51" t="str">
        <x:v>是</x:v>
      </x:c>
      <x:c r="H10" s="51" t="str">
        <x:v>是</x:v>
      </x:c>
      <x:c r="I10" s="51" t="str">
        <x:v>全部</x:v>
      </x:c>
      <x:c r="J10" s="51" t="str">
        <x:v>保存表名、版本和插值区间</x:v>
      </x:c>
    </x:row>
    <x:row r="11">
      <x:c r="A11" s="51" t="n">
        <x:v>7</x:v>
      </x:c>
      <x:c r="B11" s="51" t="str">
        <x:v>测量游离水</x:v>
      </x:c>
      <x:c r="C11" s="51" t="str">
        <x:v>油水界面液位、乳化层、检水方法</x:v>
      </x:c>
      <x:c r="D11" s="51" t="str">
        <x:v>界面液位查表；少量可走楔形</x:v>
      </x:c>
      <x:c r="E11" s="51" t="str">
        <x:v>FW体积</x:v>
      </x:c>
      <x:c r="F11" s="51" t="str">
        <x:v>直接</x:v>
      </x:c>
      <x:c r="G11" s="51" t="str">
        <x:v>是</x:v>
      </x:c>
      <x:c r="H11" s="51" t="str">
        <x:v>是</x:v>
      </x:c>
      <x:c r="I11" s="51" t="str">
        <x:v>全部</x:v>
      </x:c>
      <x:c r="J11" s="51" t="str">
        <x:v>无数据不能默认FW=0</x:v>
      </x:c>
    </x:row>
    <x:row r="12">
      <x:c r="A12" s="51" t="n">
        <x:v>8</x:v>
      </x:c>
      <x:c r="B12" s="51" t="str">
        <x:v>计算毛观测体积</x:v>
      </x:c>
      <x:c r="C12" s="51" t="str">
        <x:v>TOV、FW、CTSh/FRA/静压力等适用修正</x:v>
      </x:c>
      <x:c r="D12" s="51" t="str">
        <x:v>基础关系：GOV=TOV-FW；再按标准叠加适用容积修正</x:v>
      </x:c>
      <x:c r="E12" s="51" t="str">
        <x:v>GOV</x:v>
      </x:c>
      <x:c r="F12" s="51" t="str">
        <x:v>直接</x:v>
      </x:c>
      <x:c r="G12" s="51" t="str">
        <x:v>是</x:v>
      </x:c>
      <x:c r="H12" s="51" t="str">
        <x:v>是</x:v>
      </x:c>
      <x:c r="I12" s="51" t="str">
        <x:v>全部</x:v>
      </x:c>
      <x:c r="J12" s="51" t="str">
        <x:v>船舶和岸罐修正路径不同</x:v>
      </x:c>
    </x:row>
    <x:row r="13">
      <x:c r="A13" s="51" t="n">
        <x:v>9</x:v>
      </x:c>
      <x:c r="B13" s="51" t="str">
        <x:v>选择温度修正方法</x:v>
      </x:c>
      <x:c r="C13" s="51" t="str">
        <x:v>货物类型、标准温度、密度/API度、标准版本</x:v>
      </x:c>
      <x:c r="D13" s="51" t="str">
        <x:v>石油VCF法、TEC/f法、γ/Cs法或专用标准三选一</x:v>
      </x:c>
      <x:c r="E13" s="51" t="str">
        <x:v>计算路径</x:v>
      </x:c>
      <x:c r="F13" s="51" t="str">
        <x:v>控制</x:v>
      </x:c>
      <x:c r="G13" s="51" t="str">
        <x:v>是</x:v>
      </x:c>
      <x:c r="H13" s="51" t="str">
        <x:v>是</x:v>
      </x:c>
      <x:c r="I13" s="51" t="str">
        <x:v>全部</x:v>
      </x:c>
      <x:c r="J13" s="51" t="str">
        <x:v>k、f、γ通常不是同时使用</x:v>
      </x:c>
    </x:row>
    <x:row r="14">
      <x:c r="A14" s="51" t="n">
        <x:v>10</x:v>
      </x:c>
      <x:c r="B14" s="51" t="str">
        <x:v>计算VCF/CTPL</x:v>
      </x:c>
      <x:c r="C14" s="51" t="str">
        <x:v>TL、TS、ρs/API度、标准和版本；适用时压力</x:v>
      </x:c>
      <x:c r="D14" s="51" t="str">
        <x:v>CTPL=CTL×CPL；常压时常约等于VCF</x:v>
      </x:c>
      <x:c r="E14" s="51" t="str">
        <x:v>VCF/CTPL</x:v>
      </x:c>
      <x:c r="F14" s="51" t="str">
        <x:v>直接</x:v>
      </x:c>
      <x:c r="G14" s="51" t="str">
        <x:v>是</x:v>
      </x:c>
      <x:c r="H14" s="51" t="str">
        <x:v>是</x:v>
      </x:c>
      <x:c r="I14" s="51" t="str">
        <x:v>全部</x:v>
      </x:c>
      <x:c r="J14" s="51" t="str">
        <x:v>不得手工拼表号或跨版本</x:v>
      </x:c>
    </x:row>
    <x:row r="15">
      <x:c r="A15" s="51" t="n">
        <x:v>11</x:v>
      </x:c>
      <x:c r="B15" s="51" t="str">
        <x:v>计算毛标准体积</x:v>
      </x:c>
      <x:c r="C15" s="51" t="str">
        <x:v>GOV、VCF/CTPL</x:v>
      </x:c>
      <x:c r="D15" s="51" t="str">
        <x:v>GSV=GOV×CTPL</x:v>
      </x:c>
      <x:c r="E15" s="51" t="str">
        <x:v>GSV</x:v>
      </x:c>
      <x:c r="F15" s="51" t="str">
        <x:v>直接</x:v>
      </x:c>
      <x:c r="G15" s="51" t="str">
        <x:v>是</x:v>
      </x:c>
      <x:c r="H15" s="51" t="str">
        <x:v>是</x:v>
      </x:c>
      <x:c r="I15" s="51" t="str">
        <x:v>全部</x:v>
      </x:c>
      <x:c r="J15" s="51" t="str">
        <x:v>仍包含悬浮S&amp;W</x:v>
      </x:c>
    </x:row>
    <x:row r="16">
      <x:c r="A16" s="51" t="n">
        <x:v>12</x:v>
      </x:c>
      <x:c r="B16" s="51" t="str">
        <x:v>取得S&amp;W</x:v>
      </x:c>
      <x:c r="C16" s="51" t="str">
        <x:v>代表样品、实验室方法、结果单位</x:v>
      </x:c>
      <x:c r="D16" s="51" t="str">
        <x:v>按检测结果建立CSW=1-S&amp;W</x:v>
      </x:c>
      <x:c r="E16" s="51" t="str">
        <x:v>S&amp;W/CSW</x:v>
      </x:c>
      <x:c r="F16" s="51" t="str">
        <x:v>直接</x:v>
      </x:c>
      <x:c r="G16" s="51" t="str">
        <x:v>是</x:v>
      </x:c>
      <x:c r="H16" s="51" t="str">
        <x:v>是</x:v>
      </x:c>
      <x:c r="I16" s="51" t="str">
        <x:v>净量</x:v>
      </x:c>
      <x:c r="J16" s="51" t="str">
        <x:v>确认V/V还是M/M</x:v>
      </x:c>
    </x:row>
    <x:row r="17">
      <x:c r="A17" s="51" t="n">
        <x:v>13</x:v>
      </x:c>
      <x:c r="B17" s="51" t="str">
        <x:v>计算净标准体积</x:v>
      </x:c>
      <x:c r="C17" s="51" t="str">
        <x:v>GSV、S&amp;W/CSW</x:v>
      </x:c>
      <x:c r="D17" s="51" t="str">
        <x:v>NSV=GSV×(1-S&amp;W%)</x:v>
      </x:c>
      <x:c r="E17" s="51" t="str">
        <x:v>NSV</x:v>
      </x:c>
      <x:c r="F17" s="51" t="str">
        <x:v>直接</x:v>
      </x:c>
      <x:c r="G17" s="51" t="str">
        <x:v>是</x:v>
      </x:c>
      <x:c r="H17" s="51" t="str">
        <x:v>是</x:v>
      </x:c>
      <x:c r="I17" s="51" t="str">
        <x:v>净量</x:v>
      </x:c>
      <x:c r="J17" s="51" t="str">
        <x:v>不要再次扣FW</x:v>
      </x:c>
    </x:row>
    <x:row r="18">
      <x:c r="A18" s="51" t="n">
        <x:v>14</x:v>
      </x:c>
      <x:c r="B18" s="51" t="str">
        <x:v>计算真空质量</x:v>
      </x:c>
      <x:c r="C18" s="51" t="str">
        <x:v>GSV或NSV、同基准真空密度</x:v>
      </x:c>
      <x:c r="D18" s="51" t="str">
        <x:v>GSM/NSM=标准体积×密度÷单位换算</x:v>
      </x:c>
      <x:c r="E18" s="51" t="str">
        <x:v>GSM/NSM</x:v>
      </x:c>
      <x:c r="F18" s="51" t="str">
        <x:v>直接</x:v>
      </x:c>
      <x:c r="G18" s="51" t="str">
        <x:v>是</x:v>
      </x:c>
      <x:c r="H18" s="51" t="str">
        <x:v>是</x:v>
      </x:c>
      <x:c r="I18" s="51" t="str">
        <x:v>质量</x:v>
      </x:c>
      <x:c r="J18" s="51" t="str">
        <x:v>g/cm³与kg/m³换算需一致</x:v>
      </x:c>
    </x:row>
    <x:row r="19">
      <x:c r="A19" s="51" t="n">
        <x:v>15</x:v>
      </x:c>
      <x:c r="B19" s="51" t="str">
        <x:v>计算空气中重量</x:v>
      </x:c>
      <x:c r="C19" s="51" t="str">
        <x:v>真空质量、WCF</x:v>
      </x:c>
      <x:c r="D19" s="51" t="str">
        <x:v>GSW/NSW=GSM/NSM×WCF</x:v>
      </x:c>
      <x:c r="E19" s="51" t="str">
        <x:v>GSW/NSW</x:v>
      </x:c>
      <x:c r="F19" s="51" t="str">
        <x:v>条件</x:v>
      </x:c>
      <x:c r="G19" s="51" t="str">
        <x:v>是</x:v>
      </x:c>
      <x:c r="H19" s="51" t="str">
        <x:v>是</x:v>
      </x:c>
      <x:c r="I19" s="51" t="str">
        <x:v>商业重量</x:v>
      </x:c>
      <x:c r="J19" s="51" t="str">
        <x:v>没有明确WCF时不得自动假设</x:v>
      </x:c>
    </x:row>
    <x:row r="20">
      <x:c r="A20" s="51" t="n">
        <x:v>16</x:v>
      </x:c>
      <x:c r="B20" s="51" t="str">
        <x:v>计算对象转移量</x:v>
      </x:c>
      <x:c r="C20" s="51" t="str">
        <x:v>作业前后同口径库存</x:v>
      </x:c>
      <x:c r="D20" s="51" t="str">
        <x:v>装货：后-前；卸货：前-后</x:v>
      </x:c>
      <x:c r="E20" s="51" t="str">
        <x:v>船量/岸量</x:v>
      </x:c>
      <x:c r="F20" s="51" t="str">
        <x:v>直接</x:v>
      </x:c>
      <x:c r="G20" s="51" t="str">
        <x:v>是</x:v>
      </x:c>
      <x:c r="H20" s="51" t="str">
        <x:v>是</x:v>
      </x:c>
      <x:c r="I20" s="51" t="str">
        <x:v>全部转移</x:v>
      </x:c>
      <x:c r="J20" s="51" t="str">
        <x:v>OBQ、ROB和管线状态需纳入边界</x:v>
      </x:c>
    </x:row>
    <x:row r="21">
      <x:c r="A21" s="51" t="n">
        <x:v>17</x:v>
      </x:c>
      <x:c r="B21" s="51" t="str">
        <x:v>统一单位</x:v>
      </x:c>
      <x:c r="C21" s="51" t="str">
        <x:v>标准体积、质量/重量口径、目标单位</x:v>
      </x:c>
      <x:c r="D21" s="51" t="str">
        <x:v>按目标单位换算</x:v>
      </x:c>
      <x:c r="E21" s="51" t="str">
        <x:v>m³@15°C、US bbl@60°F、MT等</x:v>
      </x:c>
      <x:c r="F21" s="51" t="str">
        <x:v>输出</x:v>
      </x:c>
      <x:c r="G21" s="51" t="str">
        <x:v>是</x:v>
      </x:c>
      <x:c r="H21" s="51" t="str">
        <x:v>是</x:v>
      </x:c>
      <x:c r="I21" s="51" t="str">
        <x:v>全部</x:v>
      </x:c>
      <x:c r="J21" s="51" t="str">
        <x:v>先统一标准温度和毛净口径</x:v>
      </x:c>
    </x:row>
    <x:row r="22">
      <x:c r="A22" s="53" t="n">
        <x:v>18</x:v>
      </x:c>
      <x:c r="B22" s="53" t="str">
        <x:v>船岸/双对象对账</x:v>
      </x:c>
      <x:c r="C22" s="53" t="str">
        <x:v>船量、岸量/接收量、提单量、VEF、容差</x:v>
      </x:c>
      <x:c r="D22" s="53" t="str">
        <x:v>差值及差异率</x:v>
      </x:c>
      <x:c r="E22" s="53" t="str">
        <x:v>对账结果</x:v>
      </x:c>
      <x:c r="F22" s="53" t="str">
        <x:v>直接</x:v>
      </x:c>
      <x:c r="G22" s="53" t="str">
        <x:v>是</x:v>
      </x:c>
      <x:c r="H22" s="53" t="str">
        <x:v>是</x:v>
      </x:c>
      <x:c r="I22" s="53" t="str">
        <x:v>全部转移</x:v>
      </x:c>
      <x:c r="J22" s="53" t="str">
        <x:v>超容差先复核，不修改原始量强行对齐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4e0e495cae949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34" hidden="0" customWidth="1"/>
    <x:col min="5" max="5" width="34" hidden="0" customWidth="1"/>
    <x:col min="6" max="6" width="46" hidden="0" customWidth="1"/>
    <x:col min="7" max="7" width="22" hidden="0" customWidth="1"/>
    <x:col min="8" max="8" width="22" hidden="0" customWidth="1"/>
    <x:col min="9" max="9" width="32" hidden="0" customWidth="1"/>
    <x:col min="10" max="10" width="34" hidden="0" customWidth="1"/>
    <x:col min="11" max="11" width="34" hidden="0" customWidth="1"/>
    <x:col min="12" max="12" width="42" hidden="0" customWidth="1"/>
  </x:cols>
  <x:sheetData>
    <x:row r="1" ht="38" customHeight="1">
      <x:c r="A1" s="56" t="str">
        <x:v>装货、卸货、船对船、罐对罐与盘点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 ht="30" customHeight="1">
      <x:c r="A2" s="93" t="str">
        <x:v>同一“作业+计量对象+作业前后测次”模型可复用，不必为每种业务重做框架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</x:row>
    <x:row r="4" ht="34" customHeight="1">
      <x:c r="A4" s="116" t="str">
        <x:v>业务模式</x:v>
      </x:c>
      <x:c r="B4" s="117" t="str">
        <x:v>交付对象</x:v>
      </x:c>
      <x:c r="C4" s="117" t="str">
        <x:v>接收对象</x:v>
      </x:c>
      <x:c r="D4" s="117" t="str">
        <x:v>作业前测量</x:v>
      </x:c>
      <x:c r="E4" s="117" t="str">
        <x:v>作业后测量</x:v>
      </x:c>
      <x:c r="F4" s="117" t="str">
        <x:v>核心数量方向</x:v>
      </x:c>
      <x:c r="G4" s="117" t="str">
        <x:v>OBQ</x:v>
      </x:c>
      <x:c r="H4" s="117" t="str">
        <x:v>ROB</x:v>
      </x:c>
      <x:c r="I4" s="117" t="str">
        <x:v>污油舱</x:v>
      </x:c>
      <x:c r="J4" s="117" t="str">
        <x:v>压载水</x:v>
      </x:c>
      <x:c r="K4" s="117" t="str">
        <x:v>管线/流量计</x:v>
      </x:c>
      <x:c r="L4" s="118" t="str">
        <x:v>重点异常</x:v>
      </x:c>
    </x:row>
    <x:row r="5">
      <x:c r="A5" s="49" t="str">
        <x:v>船卸货到岸罐</x:v>
      </x:c>
      <x:c r="B5" s="49" t="str">
        <x:v>船舶</x:v>
      </x:c>
      <x:c r="C5" s="49" t="str">
        <x:v>岸罐</x:v>
      </x:c>
      <x:c r="D5" s="49" t="str">
        <x:v>抵港船量、岸罐前量</x:v>
      </x:c>
      <x:c r="E5" s="49" t="str">
        <x:v>ROB、岸罐后量</x:v>
      </x:c>
      <x:c r="F5" s="49" t="str">
        <x:v>船卸量=抵港船量-ROB；岸收量=后量-前量</x:v>
      </x:c>
      <x:c r="G5" s="49" t="str">
        <x:v>通常非主要</x:v>
      </x:c>
      <x:c r="H5" s="49" t="str">
        <x:v>必须检查</x:v>
      </x:c>
      <x:c r="I5" s="49" t="str">
        <x:v>混装、随货卸岸或残留时处理</x:v>
      </x:c>
      <x:c r="J5" s="49" t="str">
        <x:v>通常边卸边压载；记录但不计货量</x:v>
      </x:c>
      <x:c r="K5" s="49" t="str">
        <x:v>确认排空/充满和计量结果</x:v>
      </x:c>
      <x:c r="L5" s="49" t="str">
        <x:v>ROB、FW增加、管线状态、岸收差</x:v>
      </x:c>
    </x:row>
    <x:row r="6">
      <x:c r="A6" s="51" t="str">
        <x:v>岸罐装货到船</x:v>
      </x:c>
      <x:c r="B6" s="51" t="str">
        <x:v>岸罐</x:v>
      </x:c>
      <x:c r="C6" s="51" t="str">
        <x:v>船舶</x:v>
      </x:c>
      <x:c r="D6" s="51" t="str">
        <x:v>岸罐前量、船舶OBQ</x:v>
      </x:c>
      <x:c r="E6" s="51" t="str">
        <x:v>岸罐后量、装后船量</x:v>
      </x:c>
      <x:c r="F6" s="51" t="str">
        <x:v>岸发量=前量-后量；船装量=装后量-OBQ</x:v>
      </x:c>
      <x:c r="G6" s="51" t="str">
        <x:v>必须检查</x:v>
      </x:c>
      <x:c r="H6" s="51" t="str">
        <x:v>通常非主要</x:v>
      </x:c>
      <x:c r="I6" s="51" t="str">
        <x:v>拟混装污油作为OBQ</x:v>
      </x:c>
      <x:c r="J6" s="51" t="str">
        <x:v>通常边装边排压载；要求隔离</x:v>
      </x:c>
      <x:c r="K6" s="51" t="str">
        <x:v>确认装前/后状态和流量计</x:v>
      </x:c>
      <x:c r="L6" s="51" t="str">
        <x:v>OBQ、停泵、压载残水、舱位分配</x:v>
      </x:c>
    </x:row>
    <x:row r="7">
      <x:c r="A7" s="51" t="str">
        <x:v>船对船</x:v>
      </x:c>
      <x:c r="B7" s="51" t="str">
        <x:v>交付船</x:v>
      </x:c>
      <x:c r="C7" s="51" t="str">
        <x:v>接收船</x:v>
      </x:c>
      <x:c r="D7" s="51" t="str">
        <x:v>交付船前量、接收船前量/OBQ</x:v>
      </x:c>
      <x:c r="E7" s="51" t="str">
        <x:v>交付船后量/ROB、接收船后量</x:v>
      </x:c>
      <x:c r="F7" s="51" t="str">
        <x:v>交付减少量 vs 接收增加量</x:v>
      </x:c>
      <x:c r="G7" s="51" t="str">
        <x:v>接收船检查</x:v>
      </x:c>
      <x:c r="H7" s="51" t="str">
        <x:v>交付船检查</x:v>
      </x:c>
      <x:c r="I7" s="51" t="str">
        <x:v>分别按两船状态判断</x:v>
      </x:c>
      <x:c r="J7" s="51" t="str">
        <x:v>两船均记录姿态和压载</x:v>
      </x:c>
      <x:c r="K7" s="51" t="str">
        <x:v>软管/管线状态必须明确</x:v>
      </x:c>
      <x:c r="L7" s="51" t="str">
        <x:v>海况、两船姿态、分批驳运</x:v>
      </x:c>
    </x:row>
    <x:row r="8">
      <x:c r="A8" s="51" t="str">
        <x:v>罐对罐</x:v>
      </x:c>
      <x:c r="B8" s="51" t="str">
        <x:v>发出岸罐</x:v>
      </x:c>
      <x:c r="C8" s="51" t="str">
        <x:v>接收岸罐</x:v>
      </x:c>
      <x:c r="D8" s="51" t="str">
        <x:v>两罐前量</x:v>
      </x:c>
      <x:c r="E8" s="51" t="str">
        <x:v>两罐后量</x:v>
      </x:c>
      <x:c r="F8" s="51" t="str">
        <x:v>发出量=前-后；接收量=后-前</x:v>
      </x:c>
      <x:c r="G8" s="51" t="str">
        <x:v>不适用</x:v>
      </x:c>
      <x:c r="H8" s="51" t="str">
        <x:v>不适用</x:v>
      </x:c>
      <x:c r="I8" s="51" t="str">
        <x:v>通常不适用船舶污油舱</x:v>
      </x:c>
      <x:c r="J8" s="51" t="str">
        <x:v>不适用</x:v>
      </x:c>
      <x:c r="K8" s="51" t="str">
        <x:v>共同管线和流量计是重点</x:v>
      </x:c>
      <x:c r="L8" s="51" t="str">
        <x:v>浮顶、静压力、管线残量、切罐</x:v>
      </x:c>
    </x:row>
    <x:row r="9">
      <x:c r="A9" s="53" t="str">
        <x:v>盘点</x:v>
      </x:c>
      <x:c r="B9" s="53" t="str">
        <x:v>无</x:v>
      </x:c>
      <x:c r="C9" s="53" t="str">
        <x:v>无</x:v>
      </x:c>
      <x:c r="D9" s="53" t="str">
        <x:v>指定时点测量</x:v>
      </x:c>
      <x:c r="E9" s="53" t="str">
        <x:v>无强制作业后测量</x:v>
      </x:c>
      <x:c r="F9" s="53" t="str">
        <x:v>输出指定时点库存，不计算转移差</x:v>
      </x:c>
      <x:c r="G9" s="53" t="str">
        <x:v>按对象状态</x:v>
      </x:c>
      <x:c r="H9" s="53" t="str">
        <x:v>按对象状态</x:v>
      </x:c>
      <x:c r="I9" s="53" t="str">
        <x:v>有内容则单独盘点</x:v>
      </x:c>
      <x:c r="J9" s="53" t="str">
        <x:v>只记录船舶状态</x:v>
      </x:c>
      <x:c r="K9" s="53" t="str">
        <x:v>通常不计算转移量</x:v>
      </x:c>
      <x:c r="L9" s="53" t="str">
        <x:v>未稳定液面、参数版本、舱罐表错误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8481d26d02141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50" hidden="0" customWidth="1"/>
    <x:col min="4" max="4" width="36" hidden="0" customWidth="1"/>
    <x:col min="5" max="5" width="20" hidden="0" customWidth="1"/>
    <x:col min="6" max="6" width="36" hidden="0" customWidth="1"/>
    <x:col min="7" max="7" width="24" hidden="0" customWidth="1"/>
    <x:col min="8" max="8" width="28" hidden="0" customWidth="1"/>
    <x:col min="9" max="9" width="36" hidden="0" customWidth="1"/>
  </x:cols>
  <x:sheetData>
    <x:row r="1" ht="38" customHeight="1">
      <x:c r="A1" s="56" t="str">
        <x:v>条件计算与异常处理</x:v>
      </x:c>
      <x:c r="B1" s="56"/>
      <x:c r="C1" s="56"/>
      <x:c r="D1" s="56"/>
      <x:c r="E1" s="56"/>
      <x:c r="F1" s="56"/>
      <x:c r="G1" s="56"/>
      <x:c r="H1" s="56"/>
      <x:c r="I1" s="56"/>
    </x:row>
    <x:row r="2" ht="30" customHeight="1">
      <x:c r="A2" s="93" t="str">
        <x:v>这些情况决定是否启用楔形、OBQ/ROB、污油、压载、管线或差异复核流程</x:v>
      </x:c>
      <x:c r="B2" s="86"/>
      <x:c r="C2" s="86"/>
      <x:c r="D2" s="86"/>
      <x:c r="E2" s="86"/>
      <x:c r="F2" s="86"/>
      <x:c r="G2" s="86"/>
      <x:c r="H2" s="86"/>
      <x:c r="I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</x:row>
    <x:row r="4" ht="34" customHeight="1">
      <x:c r="A4" s="116" t="str">
        <x:v>条件/异常</x:v>
      </x:c>
      <x:c r="B4" s="117" t="str">
        <x:v>触发判断</x:v>
      </x:c>
      <x:c r="C4" s="117" t="str">
        <x:v>应采取的操作</x:v>
      </x:c>
      <x:c r="D4" s="117" t="str">
        <x:v>对计算的影响</x:v>
      </x:c>
      <x:c r="E4" s="117" t="str">
        <x:v>是否阻断最终结果</x:v>
      </x:c>
      <x:c r="F4" s="117" t="str">
        <x:v>需要的输入</x:v>
      </x:c>
      <x:c r="G4" s="117" t="str">
        <x:v>输出/分类</x:v>
      </x:c>
      <x:c r="H4" s="117" t="str">
        <x:v>相关报告</x:v>
      </x:c>
      <x:c r="I4" s="118" t="str">
        <x:v>待确认点</x:v>
      </x:c>
    </x:row>
    <x:row r="5">
      <x:c r="A5" s="49" t="str">
        <x:v>液体未接触全部舱壁</x:v>
      </x:c>
      <x:c r="B5" s="49" t="str">
        <x:v>少量液体，普通舱容表/纵倾修正不再适用</x:v>
      </x:c>
      <x:c r="C5" s="49" t="str">
        <x:v>使用船舶专用楔形舱容表；无表时按批准公式</x:v>
      </x:c>
      <x:c r="D5" s="49" t="str">
        <x:v>改变OBQ/ROB/FW体积</x:v>
      </x:c>
      <x:c r="E5" s="49" t="str">
        <x:v>是，缺少方法时</x:v>
      </x:c>
      <x:c r="F5" s="49" t="str">
        <x:v>舱尺寸、测量点、液位、纵倾/横倾</x:v>
      </x:c>
      <x:c r="G5" s="49" t="str">
        <x:v>楔形体积</x:v>
      </x:c>
      <x:c r="H5" s="49" t="str">
        <x:v>OBQ/ROB/FW</x:v>
      </x:c>
      <x:c r="I5" s="49" t="str">
        <x:v>船舶专用表和公式来源</x:v>
      </x:c>
    </x:row>
    <x:row r="6">
      <x:c r="A6" s="51" t="str">
        <x:v>游离水增加</x:v>
      </x:c>
      <x:c r="B6" s="51" t="str">
        <x:v>作业后FW高于作业前或历史水平</x:v>
      </x:c>
      <x:c r="C6" s="51" t="str">
        <x:v>复测界面、记录乳化层、取样并通知相关方</x:v>
      </x:c>
      <x:c r="D6" s="51" t="str">
        <x:v>GOV减少；可能造成质量/数量差</x:v>
      </x:c>
      <x:c r="E6" s="51" t="str">
        <x:v>条件阻断</x:v>
      </x:c>
      <x:c r="F6" s="51" t="str">
        <x:v>界面、检水方法、样品</x:v>
      </x:c>
      <x:c r="G6" s="51" t="str">
        <x:v>FW/异常</x:v>
      </x:c>
      <x:c r="H6" s="51" t="str">
        <x:v>游离水/抗议信</x:v>
      </x:c>
      <x:c r="I6" s="51" t="str">
        <x:v>增加原因和是否属于货物系统进水</x:v>
      </x:c>
    </x:row>
    <x:row r="7">
      <x:c r="A7" s="51" t="str">
        <x:v>无法测油水界面</x:v>
      </x:c>
      <x:c r="B7" s="51" t="str">
        <x:v>货物密度大于水、界面不可达或安全限制</x:v>
      </x:c>
      <x:c r="C7" s="51" t="str">
        <x:v>使用替代取样/检测方法并记录理由</x:v>
      </x:c>
      <x:c r="D7" s="51" t="str">
        <x:v>FW不确定</x:v>
      </x:c>
      <x:c r="E7" s="51" t="str">
        <x:v>是</x:v>
      </x:c>
      <x:c r="F7" s="51" t="str">
        <x:v>方法、理由、审核人</x:v>
      </x:c>
      <x:c r="G7" s="51" t="str">
        <x:v>待确认</x:v>
      </x:c>
      <x:c r="H7" s="51" t="str">
        <x:v>游离水报告</x:v>
      </x:c>
      <x:c r="I7" s="51" t="str">
        <x:v>不能默认FW=0</x:v>
      </x:c>
    </x:row>
    <x:row r="8">
      <x:c r="A8" s="51" t="str">
        <x:v>纵倾/横倾显著</x:v>
      </x:c>
      <x:c r="B8" s="51" t="str">
        <x:v>船舶姿态偏离舱表基准</x:v>
      </x:c>
      <x:c r="C8" s="51" t="str">
        <x:v>判断是否接触全部舱壁，再选普通修正或楔形</x:v>
      </x:c>
      <x:c r="D8" s="51" t="str">
        <x:v>改变修正液位/TOV</x:v>
      </x:c>
      <x:c r="E8" s="51" t="str">
        <x:v>条件阻断</x:v>
      </x:c>
      <x:c r="F8" s="51" t="str">
        <x:v>艏艉吃水、横倾、舱表</x:v>
      </x:c>
      <x:c r="G8" s="51" t="str">
        <x:v>修正值</x:v>
      </x:c>
      <x:c r="H8" s="51" t="str">
        <x:v>空距报告</x:v>
      </x:c>
      <x:c r="I8" s="51" t="str">
        <x:v>正负方向和单位</x:v>
      </x:c>
    </x:row>
    <x:row r="9">
      <x:c r="A9" s="51" t="str">
        <x:v>同时压载/排压载</x:v>
      </x:c>
      <x:c r="B9" s="51" t="str">
        <x:v>货物转移期间船舶压载系统运行</x:v>
      </x:c>
      <x:c r="C9" s="51" t="str">
        <x:v>记录原因、开始结束时间和隔离方式；稳定后计量</x:v>
      </x:c>
      <x:c r="D9" s="51" t="str">
        <x:v>间接改变纵倾/横倾</x:v>
      </x:c>
      <x:c r="E9" s="51" t="str">
        <x:v>通常不阻断，未稳定时阻断</x:v>
      </x:c>
      <x:c r="F9" s="51" t="str">
        <x:v>压载舱、时间、阀门隔离</x:v>
      </x:c>
      <x:c r="G9" s="51" t="str">
        <x:v>船舶状态</x:v>
      </x:c>
      <x:c r="H9" s="51" t="str">
        <x:v>压载/时间日志</x:v>
      </x:c>
      <x:c r="I9" s="51" t="str">
        <x:v>单阀/双阀或独立管系</x:v>
      </x:c>
    </x:row>
    <x:row r="10">
      <x:c r="A10" s="51" t="str">
        <x:v>货舱存在压载水</x:v>
      </x:c>
      <x:c r="B10" s="51" t="str">
        <x:v>装货前货舱、货泵或管线仍有水</x:v>
      </x:c>
      <x:c r="C10" s="51" t="str">
        <x:v>测量并作为FW/OBQ；调查隔离</x:v>
      </x:c>
      <x:c r="D10" s="51" t="str">
        <x:v>减少可计货物量</x:v>
      </x:c>
      <x:c r="E10" s="51" t="str">
        <x:v>是</x:v>
      </x:c>
      <x:c r="F10" s="51" t="str">
        <x:v>水位、体积、来源</x:v>
      </x:c>
      <x:c r="G10" s="51" t="str">
        <x:v>FW/OBQ</x:v>
      </x:c>
      <x:c r="H10" s="51" t="str">
        <x:v>游离水/OBQ</x:v>
      </x:c>
      <x:c r="I10" s="51" t="str">
        <x:v>不能作为正常压载库存忽略</x:v>
      </x:c>
    </x:row>
    <x:row r="11">
      <x:c r="A11" s="51" t="str">
        <x:v>压载舱发现货物</x:v>
      </x:c>
      <x:c r="B11" s="51" t="str">
        <x:v>油膜或可测量油层</x:v>
      </x:c>
      <x:c r="C11" s="51" t="str">
        <x:v>按非指定舱货物测量、取样并通知</x:v>
      </x:c>
      <x:c r="D11" s="51" t="str">
        <x:v>可能形成OBQ/ROB或泄漏量</x:v>
      </x:c>
      <x:c r="E11" s="51" t="str">
        <x:v>是</x:v>
      </x:c>
      <x:c r="F11" s="51" t="str">
        <x:v>液位、界面、温度、样品</x:v>
      </x:c>
      <x:c r="G11" s="51" t="str">
        <x:v>异常货物</x:v>
      </x:c>
      <x:c r="H11" s="51" t="str">
        <x:v>压载/异常报告</x:v>
      </x:c>
      <x:c r="I11" s="51" t="str">
        <x:v>物料归属</x:v>
      </x:c>
    </x:row>
    <x:row r="12">
      <x:c r="A12" s="51" t="str">
        <x:v>污油将与新货混装</x:v>
      </x:c>
      <x:c r="B12" s="51" t="str">
        <x:v>执行Load on top</x:v>
      </x:c>
      <x:c r="C12" s="51" t="str">
        <x:v>分别测油层/FW并将适用污油作为OBQ</x:v>
      </x:c>
      <x:c r="D12" s="51" t="str">
        <x:v>船装量需扣除原污油OBQ</x:v>
      </x:c>
      <x:c r="E12" s="51" t="str">
        <x:v>是</x:v>
      </x:c>
      <x:c r="F12" s="51" t="str">
        <x:v>污油TOV、FW、温度、密度、S&amp;W</x:v>
      </x:c>
      <x:c r="G12" s="51" t="str">
        <x:v>OBQ</x:v>
      </x:c>
      <x:c r="H12" s="51" t="str">
        <x:v>污油/OBQ</x:v>
      </x:c>
      <x:c r="I12" s="51" t="str">
        <x:v>商业结算是否接受</x:v>
      </x:c>
    </x:row>
    <x:row r="13">
      <x:c r="A13" s="51" t="str">
        <x:v>污油与本次货物隔离</x:v>
      </x:c>
      <x:c r="B13" s="51" t="str">
        <x:v>阀门和舱位确认不混装、不转移</x:v>
      </x:c>
      <x:c r="C13" s="51" t="str">
        <x:v>单独记录污油库存</x:v>
      </x:c>
      <x:c r="D13" s="51" t="str">
        <x:v>不进入本次货量</x:v>
      </x:c>
      <x:c r="E13" s="51" t="str">
        <x:v>否</x:v>
      </x:c>
      <x:c r="F13" s="51" t="str">
        <x:v>舱号、状态、隔离证据</x:v>
      </x:c>
      <x:c r="G13" s="51" t="str">
        <x:v>独立库存</x:v>
      </x:c>
      <x:c r="H13" s="51" t="str">
        <x:v>污油舱报告</x:v>
      </x:c>
      <x:c r="I13" s="51" t="str">
        <x:v>状态变化时重新判断</x:v>
      </x:c>
    </x:row>
    <x:row r="14">
      <x:c r="A14" s="51" t="str">
        <x:v>卸货后存在ROB</x:v>
      </x:c>
      <x:c r="B14" s="51" t="str">
        <x:v>货舱/管线仍有液体、非液体、FW或污油</x:v>
      </x:c>
      <x:c r="C14" s="51" t="str">
        <x:v>排净管线后测量、分类、必要时楔形和取样</x:v>
      </x:c>
      <x:c r="D14" s="51" t="str">
        <x:v>从抵港船量扣除</x:v>
      </x:c>
      <x:c r="E14" s="51" t="str">
        <x:v>是</x:v>
      </x:c>
      <x:c r="F14" s="51" t="str">
        <x:v>液位/性质/温度/姿态</x:v>
      </x:c>
      <x:c r="G14" s="51" t="str">
        <x:v>ROB</x:v>
      </x:c>
      <x:c r="H14" s="51" t="str">
        <x:v>ROB报告</x:v>
      </x:c>
      <x:c r="I14" s="51" t="str">
        <x:v>是否继续泵卸及未卸原因</x:v>
      </x:c>
    </x:row>
    <x:row r="15">
      <x:c r="A15" s="51" t="str">
        <x:v>管线状态前后不同</x:v>
      </x:c>
      <x:c r="B15" s="51" t="str">
        <x:v>一端满、一端空或状态无法证明</x:v>
      </x:c>
      <x:c r="C15" s="51" t="str">
        <x:v>执行管线充满验证/排量试验，单列影响</x:v>
      </x:c>
      <x:c r="D15" s="51" t="str">
        <x:v>形成管线数量差</x:v>
      </x:c>
      <x:c r="E15" s="51" t="str">
        <x:v>是</x:v>
      </x:c>
      <x:c r="F15" s="51" t="str">
        <x:v>管线容量、前后状态、试验</x:v>
      </x:c>
      <x:c r="G15" s="51" t="str">
        <x:v>管线调整/说明</x:v>
      </x:c>
      <x:c r="H15" s="51" t="str">
        <x:v>管线/对账</x:v>
      </x:c>
      <x:c r="I15" s="51" t="str">
        <x:v>不能静默并入船量或岸量</x:v>
      </x:c>
    </x:row>
    <x:row r="16">
      <x:c r="A16" s="51" t="str">
        <x:v>稠油、含气或未静置</x:v>
      </x:c>
      <x:c r="B16" s="51" t="str">
        <x:v>液面/温度持续变化或产品夹带气体</x:v>
      </x:c>
      <x:c r="C16" s="51" t="str">
        <x:v>等待合理静置；记录完工至计量时间</x:v>
      </x:c>
      <x:c r="D16" s="51" t="str">
        <x:v>液位、温度和密度不稳定</x:v>
      </x:c>
      <x:c r="E16" s="51" t="str">
        <x:v>是，未稳定时</x:v>
      </x:c>
      <x:c r="F16" s="51" t="str">
        <x:v>时间、温度剖面、货物性质</x:v>
      </x:c>
      <x:c r="G16" s="51" t="str">
        <x:v>稳定性说明</x:v>
      </x:c>
      <x:c r="H16" s="51" t="str">
        <x:v>时间日志</x:v>
      </x:c>
      <x:c r="I16" s="51" t="str">
        <x:v>静置时长由业务确定</x:v>
      </x:c>
    </x:row>
    <x:row r="17">
      <x:c r="A17" s="51" t="str">
        <x:v>流量计量与罐量不一致</x:v>
      </x:c>
      <x:c r="B17" s="51" t="str">
        <x:v>动态量无法与静态量核对</x:v>
      </x:c>
      <x:c r="C17" s="51" t="str">
        <x:v>复核MF、检定、起止读数、罐表、FW、温度和版本</x:v>
      </x:c>
      <x:c r="D17" s="51" t="str">
        <x:v>可能改变动态或静态结果</x:v>
      </x:c>
      <x:c r="E17" s="51" t="str">
        <x:v>条件阻断</x:v>
      </x:c>
      <x:c r="F17" s="51" t="str">
        <x:v>完整设备和舱罐数据</x:v>
      </x:c>
      <x:c r="G17" s="51" t="str">
        <x:v>复核结果</x:v>
      </x:c>
      <x:c r="H17" s="51" t="str">
        <x:v>流量计/对账</x:v>
      </x:c>
      <x:c r="I17" s="51" t="str">
        <x:v>先统一毛净、温度和单位</x:v>
      </x:c>
    </x:row>
    <x:row r="18">
      <x:c r="A18" s="51" t="str">
        <x:v>船岸差超容差</x:v>
      </x:c>
      <x:c r="B18" s="51" t="str">
        <x:v>差异率大于合同/公司阈值</x:v>
      </x:c>
      <x:c r="C18" s="51" t="str">
        <x:v>锁定原始数据，重算并分析VEF、OBQ/ROB、管线和取样</x:v>
      </x:c>
      <x:c r="D18" s="51" t="str">
        <x:v>不直接改公式结果</x:v>
      </x:c>
      <x:c r="E18" s="51" t="str">
        <x:v>是</x:v>
      </x:c>
      <x:c r="F18" s="51" t="str">
        <x:v>船量、岸量、提单量、容差</x:v>
      </x:c>
      <x:c r="G18" s="51" t="str">
        <x:v>差异说明</x:v>
      </x:c>
      <x:c r="H18" s="51" t="str">
        <x:v>对账/NAD/抗议信</x:v>
      </x:c>
      <x:c r="I18" s="51" t="str">
        <x:v>分母和容差来源</x:v>
      </x:c>
    </x:row>
    <x:row r="19">
      <x:c r="A19" s="53" t="str">
        <x:v>缺少标准或系数</x:v>
      </x:c>
      <x:c r="B19" s="53" t="str">
        <x:v>VCF方法、版本、f/γ、密度口径不完整</x:v>
      </x:c>
      <x:c r="C19" s="53" t="str">
        <x:v>标记待业务确认，禁止默认补0或经验值</x:v>
      </x:c>
      <x:c r="D19" s="53" t="str">
        <x:v>无法可靠得到GSV/质量</x:v>
      </x:c>
      <x:c r="E19" s="53" t="str">
        <x:v>是</x:v>
      </x:c>
      <x:c r="F19" s="53" t="str">
        <x:v>标准、版本、货物主数据</x:v>
      </x:c>
      <x:c r="G19" s="53" t="str">
        <x:v>待确认</x:v>
      </x:c>
      <x:c r="H19" s="53" t="str">
        <x:v>计算参数</x:v>
      </x:c>
      <x:c r="I19" s="53" t="str">
        <x:v>联系业务和算法负责人</x:v>
      </x:c>
    </x:row>
  </x:sheetData>
  <x:mergeCells>
    <x:mergeCell ref="A1:I1"/>
    <x:mergeCell ref="A2:I2"/>
  </x:mergeCells>
  <x:conditionalFormatting sqref="E5:E19">
    <x:cfRule type="containsText" dxfId="4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49843b488fc74c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42" hidden="0" customWidth="1"/>
    <x:col min="4" max="4" width="14" hidden="0" customWidth="1"/>
    <x:col min="5" max="5" width="28" hidden="0" customWidth="1"/>
    <x:col min="6" max="6" width="19" hidden="0" customWidth="1"/>
    <x:col min="7" max="7" width="22" hidden="0" customWidth="1"/>
    <x:col min="8" max="8" width="38" hidden="0" customWidth="1"/>
  </x:cols>
  <x:sheetData>
    <x:row r="1" ht="38" customHeight="1">
      <x:c r="A1" s="56" t="str">
        <x:v>可修改的计算示例</x:v>
      </x:c>
      <x:c r="B1" s="56"/>
      <x:c r="C1" s="56"/>
      <x:c r="D1" s="56"/>
      <x:c r="E1" s="56"/>
      <x:c r="F1" s="56"/>
      <x:c r="G1" s="56"/>
      <x:c r="H1" s="56"/>
    </x:row>
    <x:row r="2" ht="30" customHeight="1">
      <x:c r="A2" s="93" t="str">
        <x:v>黄色单元格为演示输入；绿色单元格为Excel公式结果。仅用于理解数据关系，不替代正式标准算法</x:v>
      </x:c>
      <x:c r="B2" s="86"/>
      <x:c r="C2" s="86"/>
      <x:c r="D2" s="86"/>
      <x:c r="E2" s="86"/>
      <x:c r="F2" s="86"/>
      <x:c r="G2" s="86"/>
      <x:c r="H2" s="86"/>
    </x:row>
    <x:row r="3">
      <x:c r="A3" s="86"/>
      <x:c r="B3" s="86"/>
      <x:c r="C3" s="86"/>
      <x:c r="D3" s="86"/>
      <x:c r="E3" s="86"/>
      <x:c r="F3" s="86"/>
      <x:c r="G3" s="86"/>
      <x:c r="H3" s="86"/>
    </x:row>
    <x:row r="4" ht="34" customHeight="1">
      <x:c r="A4" s="116" t="str">
        <x:v>演示输入</x:v>
      </x:c>
      <x:c r="B4" s="118" t="str">
        <x:v>值</x:v>
      </x:c>
      <x:c r="C4" s="86"/>
      <x:c r="D4" s="116" t="str">
        <x:v>计算结果</x:v>
      </x:c>
      <x:c r="E4" s="117" t="str">
        <x:v>公式关系</x:v>
      </x:c>
      <x:c r="F4" s="117" t="str">
        <x:v>结果值</x:v>
      </x:c>
      <x:c r="G4" s="117" t="str">
        <x:v>单位</x:v>
      </x:c>
      <x:c r="H4" s="118" t="str">
        <x:v>说明</x:v>
      </x:c>
    </x:row>
    <x:row r="5">
      <x:c r="A5" s="104" t="str">
        <x:v>TOV 总观测体积（m³）</x:v>
      </x:c>
      <x:c r="B5" s="105" t="n">
        <x:v>1000</x:v>
      </x:c>
      <x:c r="C5" s="86"/>
      <x:c r="D5" s="49" t="str">
        <x:v>GOV</x:v>
      </x:c>
      <x:c r="E5" s="49" t="str">
        <x:v>(TOV-FW)×CTSh</x:v>
      </x:c>
      <x:c r="F5" s="96" t="n">
        <x:f>(B5-B6)*B7</x:f>
        <x:v>998</x:v>
      </x:c>
      <x:c r="G5" s="49" t="str">
        <x:v>m³</x:v>
      </x:c>
      <x:c r="H5" s="49" t="str">
        <x:v>已扣FW，仍为观测温度体积</x:v>
      </x:c>
    </x:row>
    <x:row r="6">
      <x:c r="A6" s="104" t="str">
        <x:v>FW 游离水体积（m³）</x:v>
      </x:c>
      <x:c r="B6" s="106" t="n">
        <x:v>2</x:v>
      </x:c>
      <x:c r="C6" s="86"/>
      <x:c r="D6" s="51" t="str">
        <x:v>GSV</x:v>
      </x:c>
      <x:c r="E6" s="51" t="str">
        <x:v>GOV×VCF</x:v>
      </x:c>
      <x:c r="F6" s="98" t="n">
        <x:f>F5*B8</x:f>
        <x:v>983.03</x:v>
      </x:c>
      <x:c r="G6" s="51" t="str">
        <x:v>m³@标准温度</x:v>
      </x:c>
      <x:c r="H6" s="51" t="str">
        <x:v>毛标准体积，仍含S&amp;W</x:v>
      </x:c>
    </x:row>
    <x:row r="7">
      <x:c r="A7" s="104" t="str">
        <x:v>CTSh等效容积修正</x:v>
      </x:c>
      <x:c r="B7" s="107" t="n">
        <x:v>1</x:v>
      </x:c>
      <x:c r="C7" s="86"/>
      <x:c r="D7" s="51" t="str">
        <x:v>NSV</x:v>
      </x:c>
      <x:c r="E7" s="51" t="str">
        <x:v>GSV×(1-S&amp;W)</x:v>
      </x:c>
      <x:c r="F7" s="98" t="n">
        <x:f>F6*(1-B9)</x:f>
        <x:v>981.850364</x:v>
      </x:c>
      <x:c r="G7" s="51" t="str">
        <x:v>m³@标准温度</x:v>
      </x:c>
      <x:c r="H7" s="51" t="str">
        <x:v>净标准体积</x:v>
      </x:c>
    </x:row>
    <x:row r="8">
      <x:c r="A8" s="104" t="str">
        <x:v>VCF/CTPL</x:v>
      </x:c>
      <x:c r="B8" s="107" t="n">
        <x:v>0.985</x:v>
      </x:c>
      <x:c r="C8" s="86"/>
      <x:c r="D8" s="51" t="str">
        <x:v>GSM</x:v>
      </x:c>
      <x:c r="E8" s="51" t="str">
        <x:v>GSV×密度÷1000</x:v>
      </x:c>
      <x:c r="F8" s="98" t="n">
        <x:f>F6*B10/1000</x:f>
        <x:v>845.2091939999999</x:v>
      </x:c>
      <x:c r="G8" s="51" t="str">
        <x:v>MT真空中</x:v>
      </x:c>
      <x:c r="H8" s="51" t="str">
        <x:v>毛标准质量</x:v>
      </x:c>
    </x:row>
    <x:row r="9">
      <x:c r="A9" s="104" t="str">
        <x:v>S&amp;W（百分比）</x:v>
      </x:c>
      <x:c r="B9" s="108" t="n">
        <x:v>0.0012</x:v>
      </x:c>
      <x:c r="C9" s="86"/>
      <x:c r="D9" s="51" t="str">
        <x:v>NSM</x:v>
      </x:c>
      <x:c r="E9" s="51" t="str">
        <x:v>NSV×密度÷1000</x:v>
      </x:c>
      <x:c r="F9" s="98" t="n">
        <x:f>F7*B10/1000</x:f>
        <x:v>844.1949429672</x:v>
      </x:c>
      <x:c r="G9" s="51" t="str">
        <x:v>MT真空中</x:v>
      </x:c>
      <x:c r="H9" s="51" t="str">
        <x:v>净标准质量</x:v>
      </x:c>
    </x:row>
    <x:row r="10">
      <x:c r="A10" s="104" t="str">
        <x:v>标准密度（kg/m³，真空中）</x:v>
      </x:c>
      <x:c r="B10" s="109" t="n">
        <x:v>859.8</x:v>
      </x:c>
      <x:c r="C10" s="86"/>
      <x:c r="D10" s="51" t="str">
        <x:v>GSW</x:v>
      </x:c>
      <x:c r="E10" s="51" t="str">
        <x:v>GSM×WCF</x:v>
      </x:c>
      <x:c r="F10" s="98" t="str">
        <x:f>IF(B11="","",F8*B11)</x:f>
      </x:c>
      <x:c r="G10" s="51" t="str">
        <x:v>MT空气中</x:v>
      </x:c>
      <x:c r="H10" s="51" t="str">
        <x:v>未提供WCF时为空</x:v>
      </x:c>
    </x:row>
    <x:row r="11">
      <x:c r="A11" s="104" t="str">
        <x:v>WCF（可选，留空则不算空气中重量）</x:v>
      </x:c>
      <x:c r="B11" s="110"/>
      <x:c r="C11" s="86"/>
      <x:c r="D11" s="53" t="str">
        <x:v>NSW</x:v>
      </x:c>
      <x:c r="E11" s="53" t="str">
        <x:v>NSM×WCF</x:v>
      </x:c>
      <x:c r="F11" s="103" t="str">
        <x:f>IF(B11="","",F9*B11)</x:f>
      </x:c>
      <x:c r="G11" s="53" t="str">
        <x:v>MT空气中</x:v>
      </x:c>
      <x:c r="H11" s="53" t="str">
        <x:v>未提供WCF时为空</x:v>
      </x:c>
    </x:row>
    <x:row r="12">
      <x:c r="A12" s="86"/>
      <x:c r="B12" s="86"/>
      <x:c r="C12" s="86"/>
      <x:c r="D12" s="86"/>
      <x:c r="E12" s="86"/>
      <x:c r="F12" s="86"/>
      <x:c r="G12" s="86"/>
      <x:c r="H12" s="86"/>
    </x:row>
    <x:row r="13">
      <x:c r="A13" s="86"/>
      <x:c r="B13" s="86"/>
      <x:c r="C13" s="86"/>
      <x:c r="D13" s="86"/>
      <x:c r="E13" s="86"/>
      <x:c r="F13" s="86"/>
      <x:c r="G13" s="86"/>
      <x:c r="H13" s="86"/>
    </x:row>
    <x:row r="14" ht="34" customHeight="1">
      <x:c r="A14" s="126" t="str">
        <x:v>三种温度修正路径示例：同一货物通常选择一种，不是k、f、γ同时相乘</x:v>
      </x:c>
      <x:c r="B14" s="117"/>
      <x:c r="C14" s="117"/>
      <x:c r="D14" s="117"/>
      <x:c r="E14" s="117"/>
      <x:c r="F14" s="117"/>
      <x:c r="G14" s="117"/>
      <x:c r="H14" s="118"/>
    </x:row>
    <x:row r="15">
      <x:c r="A15" s="86"/>
      <x:c r="B15" s="86"/>
      <x:c r="C15" s="86"/>
      <x:c r="D15" s="86"/>
      <x:c r="E15" s="86"/>
      <x:c r="F15" s="86"/>
      <x:c r="G15" s="86"/>
      <x:c r="H15" s="86"/>
    </x:row>
    <x:row r="16" ht="34" customHeight="1">
      <x:c r="A16" s="116" t="str">
        <x:v>k/VCF路线</x:v>
      </x:c>
      <x:c r="B16" s="117" t="str">
        <x:v>f/TEC路线</x:v>
      </x:c>
      <x:c r="C16" s="118" t="str">
        <x:v>γ/Cs路线</x:v>
      </x:c>
      <x:c r="D16" s="86"/>
      <x:c r="E16" s="86"/>
      <x:c r="F16" s="86"/>
      <x:c r="G16" s="86"/>
      <x:c r="H16" s="86"/>
    </x:row>
    <x:row r="17">
      <x:c r="A17" s="49" t="str">
        <x:v>适用：API/ASTM覆盖的石油产品</x:v>
      </x:c>
      <x:c r="B17" s="49" t="str">
        <x:v>适用：提供体积温度系数的化学品</x:v>
      </x:c>
      <x:c r="C17" s="49" t="str">
        <x:v>适用：提供标准密度和密度温度系数的化学品</x:v>
      </x:c>
      <x:c r="D17" s="86"/>
      <x:c r="E17" s="86"/>
      <x:c r="F17" s="86"/>
      <x:c r="G17" s="86"/>
      <x:c r="H17" s="86"/>
    </x:row>
    <x:row r="18">
      <x:c r="A18" s="51" t="str">
        <x:v>输入VCF示例</x:v>
      </x:c>
      <x:c r="B18" s="51" t="str">
        <x:v>f（1/°C）</x:v>
      </x:c>
      <x:c r="C18" s="51" t="str">
        <x:v>γ（g/cm³/°C）</x:v>
      </x:c>
      <x:c r="D18" s="86"/>
      <x:c r="E18" s="86"/>
      <x:c r="F18" s="86"/>
      <x:c r="G18" s="86"/>
      <x:c r="H18" s="86"/>
    </x:row>
    <x:row r="19">
      <x:c r="A19" s="51" t="n">
        <x:v>0.98676</x:v>
      </x:c>
      <x:c r="B19" s="51" t="n">
        <x:v>0.00097</x:v>
      </x:c>
      <x:c r="C19" s="51" t="n">
        <x:v>0.001</x:v>
      </x:c>
      <x:c r="D19" s="86"/>
      <x:c r="E19" s="86"/>
      <x:c r="F19" s="86"/>
      <x:c r="G19" s="86"/>
      <x:c r="H19" s="86"/>
    </x:row>
    <x:row r="20">
      <x:c r="A20" s="51" t="str">
        <x:v>GSV=GOV×VCF</x:v>
      </x:c>
      <x:c r="B20" s="51" t="str">
        <x:v>VCF=EXP[-f×(TL-TS)]</x:v>
      </x:c>
      <x:c r="C20" s="51" t="str">
        <x:v>ρt=ρs-γ×(TL-TS)；等效VCF=ρt/ρs</x:v>
      </x:c>
      <x:c r="D20" s="86"/>
      <x:c r="E20" s="86"/>
      <x:c r="F20" s="86"/>
      <x:c r="G20" s="86"/>
      <x:c r="H20" s="86"/>
    </x:row>
    <x:row r="21">
      <x:c r="A21" s="53" t="str">
        <x:v>最终输出VCF</x:v>
      </x:c>
      <x:c r="B21" s="53" t="str">
        <x:v>先由f计算VCF</x:v>
      </x:c>
      <x:c r="C21" s="53" t="str">
        <x:v>先算ρt，再按密度比换算</x:v>
      </x:c>
      <x:c r="D21" s="86"/>
      <x:c r="E21" s="86"/>
      <x:c r="F21" s="86"/>
      <x:c r="G21" s="86"/>
      <x:c r="H21" s="86"/>
    </x:row>
    <x:row r="22">
      <x:c r="A22" s="86"/>
      <x:c r="B22" s="86"/>
      <x:c r="C22" s="86"/>
      <x:c r="D22" s="86"/>
      <x:c r="E22" s="86"/>
      <x:c r="F22" s="86"/>
      <x:c r="G22" s="86"/>
      <x:c r="H22" s="86"/>
    </x:row>
    <x:row r="23">
      <x:c r="A23" s="92" t="str">
        <x:v>校验提示：如果FW&gt;TOV、S&amp;W不在0%~100%、密度≤0或计算方法缺失，应阻止最终计算。</x:v>
      </x:c>
      <x:c r="B23" s="86"/>
      <x:c r="C23" s="86"/>
      <x:c r="D23" s="86"/>
      <x:c r="E23" s="86"/>
      <x:c r="F23" s="86"/>
      <x:c r="G23" s="86"/>
      <x:c r="H23" s="86"/>
    </x:row>
  </x:sheetData>
  <x:mergeCells>
    <x:mergeCell ref="A1:H1"/>
    <x:mergeCell ref="A2:H2"/>
    <x:mergeCell ref="A14:H14"/>
    <x:mergeCell ref="A23:H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48" hidden="0" customWidth="1"/>
    <x:col min="4" max="4" width="42" hidden="0" customWidth="1"/>
    <x:col min="5" max="5" width="45" hidden="0" customWidth="1"/>
    <x:col min="6" max="6" width="20" hidden="0" customWidth="1"/>
    <x:col min="7" max="7" width="52" hidden="0" customWidth="1"/>
  </x:cols>
  <x:sheetData>
    <x:row r="1" ht="38" customHeight="1">
      <x:c r="A1" s="56" t="str">
        <x:v>标准、资料来源与使用限制</x:v>
      </x:c>
      <x:c r="B1" s="56"/>
      <x:c r="C1" s="56"/>
      <x:c r="D1" s="56"/>
      <x:c r="E1" s="56"/>
      <x:c r="F1" s="56"/>
      <x:c r="G1" s="56"/>
    </x:row>
    <x:row r="2" ht="30" customHeight="1">
      <x:c r="A2" s="93" t="str">
        <x:v>记录本知识库使用的主要资料；标准的正式适用范围和公式应以授权原文及项目合同为准</x:v>
      </x:c>
      <x:c r="B2" s="86"/>
      <x:c r="C2" s="86"/>
      <x:c r="D2" s="86"/>
      <x:c r="E2" s="86"/>
      <x:c r="F2" s="86"/>
      <x:c r="G2" s="86"/>
    </x:row>
    <x:row r="3">
      <x:c r="A3" s="86"/>
      <x:c r="B3" s="86"/>
      <x:c r="C3" s="86"/>
      <x:c r="D3" s="86"/>
      <x:c r="E3" s="86"/>
      <x:c r="F3" s="86"/>
      <x:c r="G3" s="86"/>
    </x:row>
    <x:row r="4" ht="34" customHeight="1">
      <x:c r="A4" s="116" t="str">
        <x:v>类型</x:v>
      </x:c>
      <x:c r="B4" s="117" t="str">
        <x:v>名称/编号</x:v>
      </x:c>
      <x:c r="C4" s="117" t="str">
        <x:v>用于本工作簿的内容</x:v>
      </x:c>
      <x:c r="D4" s="117" t="str">
        <x:v>本地参考文件</x:v>
      </x:c>
      <x:c r="E4" s="117" t="str">
        <x:v>公开入口</x:v>
      </x:c>
      <x:c r="F4" s="117" t="str">
        <x:v>是否需要业务确认</x:v>
      </x:c>
      <x:c r="G4" s="118" t="str">
        <x:v>说明</x:v>
      </x:c>
    </x:row>
    <x:row r="5">
      <x:c r="A5" s="49" t="str">
        <x:v>标准</x:v>
      </x:c>
      <x:c r="B5" s="49" t="str">
        <x:v>API MPMS Chapter 17.1</x:v>
      </x:c>
      <x:c r="C5" s="49" t="str">
        <x:v>船运货物检验流程、OBQ/ROB、污油舱、压载舱、取样、对账和报告</x:v>
      </x:c>
      <x:c r="D5" s="49" t="str">
        <x:v>“API+MPMS+Chapter+17.1”的副本.pdf</x:v>
      </x:c>
      <x:c r="E5" s="49" t="str">
        <x:v>https://www.api.org/products-and-services/standards</x:v>
      </x:c>
      <x:c r="F5" s="49" t="str">
        <x:v>是</x:v>
      </x:c>
      <x:c r="G5" s="49" t="str">
        <x:v>流程性标准；具体计算还会引用其他章节</x:v>
      </x:c>
    </x:row>
    <x:row r="6">
      <x:c r="A6" s="51" t="str">
        <x:v>标准</x:v>
      </x:c>
      <x:c r="B6" s="51" t="str">
        <x:v>API MPMS Chapter 11.1 / ASTM D1250</x:v>
      </x:c>
      <x:c r="C6" s="51" t="str">
        <x:v>石油产品VCF/CTL/CTPL及T-6、T-24、T-54、T-60系列方法概念</x:v>
      </x:c>
      <x:c r="D6" s="51" t="str">
        <x:v>SIMS系统容量计重计算逻辑.xlsx</x:v>
      </x:c>
      <x:c r="E6" s="51" t="str">
        <x:v>https://www.astm.org/d1250-19.html</x:v>
      </x:c>
      <x:c r="F6" s="51" t="str">
        <x:v>是</x:v>
      </x:c>
      <x:c r="G6" s="51" t="str">
        <x:v>正式算法实现、版本和产品分类需授权标准或现有算法工具</x:v>
      </x:c>
    </x:row>
    <x:row r="7">
      <x:c r="A7" s="51" t="str">
        <x:v>标准</x:v>
      </x:c>
      <x:c r="B7" s="51" t="str">
        <x:v>API MPMS Chapter 17.2</x:v>
      </x:c>
      <x:c r="C7" s="51" t="str">
        <x:v>船舶货舱测量方法和非指定空间货物</x:v>
      </x:c>
      <x:c r="D7" s="51" t="str">
        <x:v>API MPMS 17.1引用</x:v>
      </x:c>
      <x:c r="E7" s="51" t="str">
        <x:v>https://www.api.org/products-and-services/standards</x:v>
      </x:c>
      <x:c r="F7" s="51" t="str">
        <x:v>是</x:v>
      </x:c>
      <x:c r="G7" s="51" t="str">
        <x:v>本工作簿只做术语级说明</x:v>
      </x:c>
    </x:row>
    <x:row r="8">
      <x:c r="A8" s="51" t="str">
        <x:v>标准</x:v>
      </x:c>
      <x:c r="B8" s="51" t="str">
        <x:v>API MPMS Chapter 17.4</x:v>
      </x:c>
      <x:c r="C8" s="51" t="str">
        <x:v>OBQ/ROB小量及楔形计算</x:v>
      </x:c>
      <x:c r="D8" s="51" t="str">
        <x:v>API MPMS 17.1引用</x:v>
      </x:c>
      <x:c r="E8" s="51" t="str">
        <x:v>https://www.api.org/products-and-services/standards</x:v>
      </x:c>
      <x:c r="F8" s="51" t="str">
        <x:v>是</x:v>
      </x:c>
      <x:c r="G8" s="51" t="str">
        <x:v>具体楔形公式和表格应使用船舶资料/标准原文</x:v>
      </x:c>
    </x:row>
    <x:row r="9">
      <x:c r="A9" s="51" t="str">
        <x:v>标准</x:v>
      </x:c>
      <x:c r="B9" s="51" t="str">
        <x:v>API MPMS Chapter 17.9</x:v>
      </x:c>
      <x:c r="C9" s="51" t="str">
        <x:v>VEF定义、历史航次筛选和计算</x:v>
      </x:c>
      <x:c r="D9" s="51" t="str">
        <x:v>API MPMS 17.1引用</x:v>
      </x:c>
      <x:c r="E9" s="51" t="str">
        <x:v>https://www.api.org/products-and-services/standards</x:v>
      </x:c>
      <x:c r="F9" s="51" t="str">
        <x:v>是</x:v>
      </x:c>
      <x:c r="G9" s="51" t="str">
        <x:v>本工作簿不提供完整VEF算法</x:v>
      </x:c>
    </x:row>
    <x:row r="10">
      <x:c r="A10" s="51" t="str">
        <x:v>标准</x:v>
      </x:c>
      <x:c r="B10" s="51" t="str">
        <x:v>ASTM D1555</x:v>
      </x:c>
      <x:c r="C10" s="51" t="str">
        <x:v>芳香烃密度和体积修正方法概念</x:v>
      </x:c>
      <x:c r="D10" s="51" t="str">
        <x:v>副本装卸与检验报告_中文版.xlsx</x:v>
      </x:c>
      <x:c r="E10" s="51" t="str">
        <x:v>https://www.astm.org/</x:v>
      </x:c>
      <x:c r="F10" s="51" t="str">
        <x:v>是</x:v>
      </x:c>
      <x:c r="G10" s="51" t="str">
        <x:v>适用货物与版本由客户确认</x:v>
      </x:c>
    </x:row>
    <x:row r="11">
      <x:c r="A11" s="51" t="str">
        <x:v>标准</x:v>
      </x:c>
      <x:c r="B11" s="51" t="str">
        <x:v>ASTM D4311/D4311M</x:v>
      </x:c>
      <x:c r="C11" s="51" t="str">
        <x:v>焦油和沥青类体积温度修正方法概念</x:v>
      </x:c>
      <x:c r="D11" s="51" t="str">
        <x:v>副本装卸与检验报告_中文版.xlsx</x:v>
      </x:c>
      <x:c r="E11" s="51" t="str">
        <x:v>https://www.astm.org/</x:v>
      </x:c>
      <x:c r="F11" s="51" t="str">
        <x:v>是</x:v>
      </x:c>
      <x:c r="G11" s="51" t="str">
        <x:v>适用货物与版本由客户确认</x:v>
      </x:c>
    </x:row>
    <x:row r="12">
      <x:c r="A12" s="51" t="str">
        <x:v>项目资料</x:v>
      </x:c>
      <x:c r="B12" s="51" t="str">
        <x:v>旧SIMS计算逻辑</x:v>
      </x:c>
      <x:c r="C12" s="51" t="str">
        <x:v>k/VCF、f/TEC、γ/Cs、GOV/GSV/NSV、质量和岸罐修正字段</x:v>
      </x:c>
      <x:c r="D12" s="51" t="str">
        <x:v>SIMS系统容量计重计算逻辑.xlsx</x:v>
      </x:c>
      <x:c r="E12" s="51" t="str"/>
      <x:c r="F12" s="51" t="str">
        <x:v>是</x:v>
      </x:c>
      <x:c r="G12" s="51" t="str">
        <x:v>旧项目逻辑仅作为参考，不能自动等同本项目规则</x:v>
      </x:c>
    </x:row>
    <x:row r="13">
      <x:c r="A13" s="51" t="str">
        <x:v>客户资料</x:v>
      </x:c>
      <x:c r="B13" s="51" t="str">
        <x:v>装卸与检验报告映射</x:v>
      </x:c>
      <x:c r="C13" s="51" t="str">
        <x:v>TEC、DCF、ASTM D1555、A/B/D类和ASTM D4311等货物类型映射线索</x:v>
      </x:c>
      <x:c r="D13" s="51" t="str">
        <x:v>副本装卸与检验报告_中文版.xlsx</x:v>
      </x:c>
      <x:c r="E13" s="51" t="str"/>
      <x:c r="F13" s="51" t="str">
        <x:v>是</x:v>
      </x:c>
      <x:c r="G13" s="51" t="str">
        <x:v>货物类型到算法路径的最终映射需要客户确认</x:v>
      </x:c>
    </x:row>
    <x:row r="14">
      <x:c r="A14" s="53" t="str">
        <x:v>设计资料</x:v>
      </x:c>
      <x:c r="B14" s="53" t="str">
        <x:v>容量计重业务流程与计算逻辑</x:v>
      </x:c>
      <x:c r="C14" s="53" t="str">
        <x:v>本项目业务流程、计算链路和离线页面设计</x:v>
      </x:c>
      <x:c r="D14" s="53" t="str">
        <x:v>output/容量计重业务流程与计算逻辑.html</x:v>
      </x:c>
      <x:c r="E14" s="53" t="str"/>
      <x:c r="F14" s="53" t="str">
        <x:v>否</x:v>
      </x:c>
      <x:c r="G14" s="53" t="str">
        <x:v>离线知识库页面</x:v>
      </x:c>
    </x:row>
  </x:sheetData>
  <x:mergeCells>
    <x:mergeCell ref="A1:G1"/>
    <x:mergeCell ref="A2:G2"/>
  </x:mergeCells>
  <x:conditionalFormatting sqref="F5:F14">
    <x:cfRule type="containsText" dxfId="5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5139b06008cb4a33"/>
  </x:tableParts>
</x:worksheet>
</file>